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8d313e401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요약" sheetId="1" r:id="Ra60ebda5e4974a87"/>
    <x:sheet xmlns:r="http://schemas.openxmlformats.org/officeDocument/2006/relationships" name="01_핵심근거" sheetId="2" r:id="R25a8c57de2264980"/>
    <x:sheet xmlns:r="http://schemas.openxmlformats.org/officeDocument/2006/relationships" name="02_문항별집계" sheetId="3" r:id="R23cb40669bd54fd5"/>
    <x:sheet xmlns:r="http://schemas.openxmlformats.org/officeDocument/2006/relationships" name="03_자유응답" sheetId="4" r:id="R28e4f07f338746eb"/>
    <x:sheet xmlns:r="http://schemas.openxmlformats.org/officeDocument/2006/relationships" name="04_원본응답" sheetId="5" r:id="R54b00e73cadb4b8b"/>
    <x:sheet xmlns:r="http://schemas.openxmlformats.org/officeDocument/2006/relationships" name="05_데이터사전" sheetId="6" r:id="R4ee6faf85c844273"/>
    <x:sheet xmlns:r="http://schemas.openxmlformats.org/officeDocument/2006/relationships" name="06_집계도우미" sheetId="7" r:id="Rd0348b5081e8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"/>
    <x:numFmt numFmtId="202" formatCode="0%"/>
  </x:numFmts>
  <x:fonts count="30">
    <x:font>
      <x:sz val="11"/>
      <x:name val="Carlito"/>
    </x:font>
    <x:font>
      <x:sz val="9"/>
      <x:color rgb="FF24343D"/>
      <x:name val="Carlito"/>
    </x:font>
    <x:font>
      <x:b/>
      <x:sz val="10"/>
      <x:color rgb="FFFFFFFF"/>
      <x:name val="Carlito"/>
    </x:font>
    <x:font>
      <x:b/>
      <x:sz val="20"/>
      <x:color rgb="FFFFFFFF"/>
      <x:name val="Carlito"/>
    </x:font>
    <x:font>
      <x:sz val="10"/>
      <x:color rgb="FF65747D"/>
      <x:name val="Carlito"/>
    </x:font>
    <x:font>
      <x:b/>
      <x:sz val="9"/>
      <x:color rgb="FF007F70"/>
      <x:name val="Carlito"/>
    </x:font>
    <x:font>
      <x:b/>
      <x:sz val="24"/>
      <x:color rgb="FFFFFFFF"/>
      <x:name val="Carlito"/>
    </x:font>
    <x:font>
      <x:b/>
      <x:sz val="12"/>
      <x:color rgb="FFFFFFFF"/>
      <x:name val="Carlito"/>
    </x:font>
    <x:font>
      <x:sz val="10"/>
      <x:color rgb="FF24343D"/>
      <x:name val="Carlito"/>
    </x:font>
    <x:font>
      <x:b/>
      <x:sz val="14"/>
      <x:color rgb="FF183445"/>
      <x:name val="Carlito"/>
    </x:font>
    <x:font>
      <x:b/>
      <x:sz val="12"/>
      <x:color rgb="FF007F70"/>
      <x:name val="Carlito"/>
    </x:font>
    <x:font>
      <x:b/>
      <x:sz val="11"/>
      <x:color rgb="FF183445"/>
      <x:name val="Carlito"/>
    </x:font>
    <x:font>
      <x:b/>
      <x:sz val="9"/>
      <x:color rgb="FF183445"/>
      <x:name val="Carlito"/>
    </x:font>
    <x:font>
      <x:b/>
      <x:sz val="10"/>
      <x:color rgb="FF007F70"/>
      <x:name val="Carlito"/>
    </x:font>
    <x:font>
      <x:sz val="10"/>
      <x:color rgb="FF183445"/>
      <x:name val="Carlito"/>
    </x:font>
    <x:font>
      <x:b/>
      <x:sz val="20"/>
      <x:color rgb="FFFFFFFF"/>
      <x:name val="Malgun Gothic"/>
    </x:font>
    <x:font>
      <x:sz val="10"/>
      <x:color rgb="FF65747D"/>
      <x:name val="Malgun Gothic"/>
    </x:font>
    <x:font>
      <x:sz val="11"/>
      <x:name val="Malgun Gothic"/>
    </x:font>
    <x:font>
      <x:b/>
      <x:sz val="10"/>
      <x:color rgb="FFFFFFFF"/>
      <x:name val="Malgun Gothic"/>
    </x:font>
    <x:font>
      <x:b/>
      <x:sz val="24"/>
      <x:color rgb="FFFFFFFF"/>
      <x:name val="Malgun Gothic"/>
    </x:font>
    <x:font>
      <x:b/>
      <x:sz val="12"/>
      <x:color rgb="FFFFFFFF"/>
      <x:name val="Malgun Gothic"/>
    </x:font>
    <x:font>
      <x:sz val="10"/>
      <x:color rgb="FF24343D"/>
      <x:name val="Malgun Gothic"/>
    </x:font>
    <x:font>
      <x:b/>
      <x:sz val="14"/>
      <x:color rgb="FF183445"/>
      <x:name val="Malgun Gothic"/>
    </x:font>
    <x:font>
      <x:b/>
      <x:sz val="12"/>
      <x:color rgb="FF007F70"/>
      <x:name val="Malgun Gothic"/>
    </x:font>
    <x:font>
      <x:b/>
      <x:sz val="11"/>
      <x:color rgb="FF183445"/>
      <x:name val="Malgun Gothic"/>
    </x:font>
    <x:font>
      <x:b/>
      <x:sz val="9"/>
      <x:color rgb="FF183445"/>
      <x:name val="Malgun Gothic"/>
    </x:font>
    <x:font>
      <x:sz val="9"/>
      <x:color rgb="FF24343D"/>
      <x:name val="Malgun Gothic"/>
    </x:font>
    <x:font>
      <x:b/>
      <x:sz val="10"/>
      <x:color rgb="FF007F70"/>
      <x:name val="Malgun Gothic"/>
    </x:font>
    <x:font>
      <x:sz val="10"/>
      <x:color rgb="FF183445"/>
      <x:name val="Malgun Gothic"/>
    </x:font>
    <x:font>
      <x:b/>
      <x:sz val="9"/>
      <x:color rgb="FF007F70"/>
      <x:name val="Malgun Gothic"/>
    </x:font>
  </x:fonts>
  <x:fills count="11">
    <x:fill>
      <x:patternFill patternType="none"/>
    </x:fill>
    <x:fill>
      <x:patternFill patternType="gray125"/>
    </x:fill>
    <x:fill>
      <x:patternFill patternType="solid">
        <x:fgColor rgb="FF007F70"/>
      </x:patternFill>
    </x:fill>
    <x:fill>
      <x:patternFill patternType="solid">
        <x:fgColor rgb="FF183445"/>
      </x:patternFill>
    </x:fill>
    <x:fill>
      <x:patternFill patternType="solid">
        <x:fgColor rgb="FFEAF1F7"/>
      </x:patternFill>
    </x:fill>
    <x:fill>
      <x:patternFill patternType="solid">
        <x:fgColor rgb="FFE8F5F2"/>
      </x:patternFill>
    </x:fill>
    <x:fill>
      <x:patternFill patternType="solid">
        <x:fgColor rgb="FF00A88F"/>
      </x:patternFill>
    </x:fill>
    <x:fill>
      <x:patternFill patternType="solid">
        <x:fgColor rgb="FFF4A261"/>
      </x:patternFill>
    </x:fill>
    <x:fill>
      <x:patternFill patternType="solid">
        <x:fgColor rgb="FFD95D4F"/>
      </x:patternFill>
    </x:fill>
    <x:fill>
      <x:patternFill patternType="solid">
        <x:fgColor rgb="FFFFFFFF"/>
      </x:patternFill>
    </x:fill>
    <x:fill>
      <x:patternFill patternType="solid">
        <x:fgColor rgb="FFF6F8FA"/>
      </x:patternFill>
    </x:fill>
  </x:fills>
  <x:borders count="24">
    <x:border/>
    <x:border>
      <x:left style="thin">
        <x:color rgb="FF007F70"/>
      </x:left>
      <x:top style="thin">
        <x:color rgb="FF007F70"/>
      </x:top>
      <x:bottom style="thin">
        <x:color rgb="FF007F70"/>
      </x:bottom>
    </x:border>
    <x:border>
      <x:top style="thin">
        <x:color rgb="FF007F70"/>
      </x:top>
      <x:bottom style="thin">
        <x:color rgb="FF007F70"/>
      </x:bottom>
    </x:border>
    <x:border>
      <x:right style="thin">
        <x:color rgb="FF007F70"/>
      </x:right>
      <x:top style="thin">
        <x:color rgb="FF007F70"/>
      </x:top>
      <x:bottom style="thin">
        <x:color rgb="FF007F70"/>
      </x:bottom>
    </x:border>
    <x:border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</x:border>
    <x:border>
      <x:top style="thin">
        <x:color rgb="FFD9E2E7"/>
      </x:top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</x:border>
    <x:border>
      <x:right style="thin">
        <x:color rgb="FFD9E2E7"/>
      </x:right>
    </x:border>
    <x:border>
      <x:left style="thin">
        <x:color rgb="FFD9E2E7"/>
      </x:left>
      <x:bottom style="thin">
        <x:color rgb="FFD9E2E7"/>
      </x:bottom>
    </x:border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medium">
        <x:color rgb="FF00A88F"/>
      </x:left>
      <x:top style="medium">
        <x:color rgb="FF00A88F"/>
      </x:top>
    </x:border>
    <x:border>
      <x:top style="medium">
        <x:color rgb="FF00A88F"/>
      </x:top>
    </x:border>
    <x:border>
      <x:right style="medium">
        <x:color rgb="FF00A88F"/>
      </x:right>
      <x:top style="medium">
        <x:color rgb="FF00A88F"/>
      </x:top>
    </x:border>
    <x:border>
      <x:left style="medium">
        <x:color rgb="FF00A88F"/>
      </x:left>
    </x:border>
    <x:border>
      <x:right style="medium">
        <x:color rgb="FF00A88F"/>
      </x:right>
    </x:border>
    <x:border>
      <x:left style="medium">
        <x:color rgb="FF00A88F"/>
      </x:left>
      <x:bottom style="medium">
        <x:color rgb="FF00A88F"/>
      </x:bottom>
    </x:border>
    <x:border>
      <x:bottom style="medium">
        <x:color rgb="FF00A88F"/>
      </x:bottom>
    </x:border>
    <x:border>
      <x:right style="medium">
        <x:color rgb="FF00A88F"/>
      </x:right>
      <x:bottom style="medium">
        <x:color rgb="FF00A88F"/>
      </x:bottom>
    </x:border>
  </x:borders>
  <x:cellStyleXfs count="1">
    <x:xf numFmtId="0" fontId="0" fillId="0" borderId="0"/>
  </x:cellStyleXfs>
  <x:cellXfs count="40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200" fontId="1" fillId="0" borderId="4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201" fontId="1" fillId="0" borderId="4" xfId="0" applyNumberFormat="1" applyFont="1" applyFill="1" applyBorder="1" applyAlignment="1">
      <x:alignment vertical="top" wrapText="1"/>
    </x:xf>
    <x:xf numFmtId="201" fontId="1" fillId="0" borderId="5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/>
    <x:xf numFmtId="0" fontId="2" fillId="3" borderId="6" xfId="0" applyNumberFormat="1" applyFont="1" applyFill="1" applyBorder="1"/>
    <x:xf numFmtId="0" fontId="2" fillId="3" borderId="5" xfId="0" applyNumberFormat="1" applyFont="1" applyFill="1" applyBorder="1"/>
    <x:xf numFmtId="0" fontId="2" fillId="3" borderId="7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4" xfId="0" applyNumberFormat="1" applyFont="1" applyFill="1" applyBorder="1"/>
    <x:xf numFmtId="0" fontId="6" fillId="6" borderId="14" xfId="0" applyNumberFormat="1" applyFont="1" applyFill="1" applyBorder="1"/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11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/>
    </x:xf>
    <x:xf numFmtId="0" fontId="6" fillId="6" borderId="12" xfId="0" applyNumberFormat="1" applyFont="1" applyFill="1" applyBorder="1" applyAlignment="1">
      <x:alignment horizontal="center"/>
    </x:xf>
    <x:xf numFmtId="0" fontId="6" fillId="6" borderId="1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14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6" fillId="6" borderId="11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12" xfId="0" applyNumberFormat="1" applyFont="1" applyFill="1" applyBorder="1" applyAlignment="1">
      <x:alignment horizontal="center" vertical="center"/>
    </x:xf>
    <x:xf numFmtId="0" fontId="6" fillId="6" borderId="13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14" xfId="0" applyNumberFormat="1" applyFont="1" applyFill="1" applyBorder="1" applyAlignment="1">
      <x:alignment horizontal="center" vertical="center"/>
    </x:xf>
    <x:xf numFmtId="201" fontId="6" fillId="6" borderId="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4" xfId="0" applyNumberFormat="1" applyFont="1" applyFill="1" applyBorder="1"/>
    <x:xf numFmtId="0" fontId="6" fillId="7" borderId="14" xfId="0" applyNumberFormat="1" applyFont="1" applyFill="1" applyBorder="1"/>
    <x:xf numFmtId="0" fontId="6" fillId="7" borderId="8" xfId="0" applyNumberFormat="1" applyFont="1" applyFill="1" applyBorder="1" applyAlignment="1">
      <x:alignment horizontal="center"/>
    </x:xf>
    <x:xf numFmtId="0" fontId="6" fillId="7" borderId="9" xfId="0" applyNumberFormat="1" applyFont="1" applyFill="1" applyBorder="1" applyAlignment="1">
      <x:alignment horizontal="center"/>
    </x:xf>
    <x:xf numFmtId="0" fontId="6" fillId="7" borderId="10" xfId="0" applyNumberFormat="1" applyFont="1" applyFill="1" applyBorder="1" applyAlignment="1">
      <x:alignment horizontal="center"/>
    </x:xf>
    <x:xf numFmtId="0" fontId="6" fillId="7" borderId="11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12" xfId="0" applyNumberFormat="1" applyFont="1" applyFill="1" applyBorder="1" applyAlignment="1">
      <x:alignment horizontal="center"/>
    </x:xf>
    <x:xf numFmtId="0" fontId="6" fillId="7" borderId="13" xfId="0" applyNumberFormat="1" applyFont="1" applyFill="1" applyBorder="1" applyAlignment="1">
      <x:alignment horizontal="center"/>
    </x:xf>
    <x:xf numFmtId="0" fontId="6" fillId="7" borderId="4" xfId="0" applyNumberFormat="1" applyFont="1" applyFill="1" applyBorder="1" applyAlignment="1">
      <x:alignment horizontal="center"/>
    </x:xf>
    <x:xf numFmtId="0" fontId="6" fillId="7" borderId="14" xfId="0" applyNumberFormat="1" applyFont="1" applyFill="1" applyBorder="1" applyAlignment="1">
      <x:alignment horizontal="center"/>
    </x:xf>
    <x:xf numFmtId="0" fontId="6" fillId="7" borderId="8" xfId="0" applyNumberFormat="1" applyFont="1" applyFill="1" applyBorder="1" applyAlignment="1">
      <x:alignment horizontal="center" vertical="center"/>
    </x:xf>
    <x:xf numFmtId="0" fontId="6" fillId="7" borderId="9" xfId="0" applyNumberFormat="1" applyFont="1" applyFill="1" applyBorder="1" applyAlignment="1">
      <x:alignment horizontal="center" vertical="center"/>
    </x:xf>
    <x:xf numFmtId="0" fontId="6" fillId="7" borderId="10" xfId="0" applyNumberFormat="1" applyFont="1" applyFill="1" applyBorder="1" applyAlignment="1">
      <x:alignment horizontal="center" vertical="center"/>
    </x:xf>
    <x:xf numFmtId="0" fontId="6" fillId="7" borderId="11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6" fillId="7" borderId="12" xfId="0" applyNumberFormat="1" applyFont="1" applyFill="1" applyBorder="1" applyAlignment="1">
      <x:alignment horizontal="center" vertical="center"/>
    </x:xf>
    <x:xf numFmtId="0" fontId="6" fillId="7" borderId="13" xfId="0" applyNumberFormat="1" applyFont="1" applyFill="1" applyBorder="1" applyAlignment="1">
      <x:alignment horizontal="center" vertical="center"/>
    </x:xf>
    <x:xf numFmtId="0" fontId="6" fillId="7" borderId="4" xfId="0" applyNumberFormat="1" applyFont="1" applyFill="1" applyBorder="1" applyAlignment="1">
      <x:alignment horizontal="center" vertical="center"/>
    </x:xf>
    <x:xf numFmtId="0" fontId="6" fillId="7" borderId="14" xfId="0" applyNumberFormat="1" applyFont="1" applyFill="1" applyBorder="1" applyAlignment="1">
      <x:alignment horizontal="center" vertical="center"/>
    </x:xf>
    <x:xf numFmtId="202" fontId="6" fillId="7" borderId="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8" xfId="0" applyNumberFormat="1" applyFont="1" applyFill="1" applyBorder="1"/>
    <x:xf numFmtId="0" fontId="6" fillId="8" borderId="9" xfId="0" applyNumberFormat="1" applyFont="1" applyFill="1" applyBorder="1"/>
    <x:xf numFmtId="0" fontId="6" fillId="8" borderId="10" xfId="0" applyNumberFormat="1" applyFont="1" applyFill="1" applyBorder="1"/>
    <x:xf numFmtId="0" fontId="6" fillId="8" borderId="11" xfId="0" applyNumberFormat="1" applyFont="1" applyFill="1" applyBorder="1"/>
    <x:xf numFmtId="0" fontId="6" fillId="8" borderId="12" xfId="0" applyNumberFormat="1" applyFont="1" applyFill="1" applyBorder="1"/>
    <x:xf numFmtId="0" fontId="6" fillId="8" borderId="13" xfId="0" applyNumberFormat="1" applyFont="1" applyFill="1" applyBorder="1"/>
    <x:xf numFmtId="0" fontId="6" fillId="8" borderId="4" xfId="0" applyNumberFormat="1" applyFont="1" applyFill="1" applyBorder="1"/>
    <x:xf numFmtId="0" fontId="6" fillId="8" borderId="14" xfId="0" applyNumberFormat="1" applyFont="1" applyFill="1" applyBorder="1"/>
    <x:xf numFmtId="0" fontId="6" fillId="8" borderId="8" xfId="0" applyNumberFormat="1" applyFont="1" applyFill="1" applyBorder="1" applyAlignment="1">
      <x:alignment horizontal="center"/>
    </x:xf>
    <x:xf numFmtId="0" fontId="6" fillId="8" borderId="9" xfId="0" applyNumberFormat="1" applyFont="1" applyFill="1" applyBorder="1" applyAlignment="1">
      <x:alignment horizontal="center"/>
    </x:xf>
    <x:xf numFmtId="0" fontId="6" fillId="8" borderId="10" xfId="0" applyNumberFormat="1" applyFont="1" applyFill="1" applyBorder="1" applyAlignment="1">
      <x:alignment horizontal="center"/>
    </x:xf>
    <x:xf numFmtId="0" fontId="6" fillId="8" borderId="11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/>
    </x:xf>
    <x:xf numFmtId="0" fontId="6" fillId="8" borderId="12" xfId="0" applyNumberFormat="1" applyFont="1" applyFill="1" applyBorder="1" applyAlignment="1">
      <x:alignment horizontal="center"/>
    </x:xf>
    <x:xf numFmtId="0" fontId="6" fillId="8" borderId="13" xfId="0" applyNumberFormat="1" applyFont="1" applyFill="1" applyBorder="1" applyAlignment="1">
      <x:alignment horizontal="center"/>
    </x:xf>
    <x:xf numFmtId="0" fontId="6" fillId="8" borderId="4" xfId="0" applyNumberFormat="1" applyFont="1" applyFill="1" applyBorder="1" applyAlignment="1">
      <x:alignment horizontal="center"/>
    </x:xf>
    <x:xf numFmtId="0" fontId="6" fillId="8" borderId="14" xfId="0" applyNumberFormat="1" applyFont="1" applyFill="1" applyBorder="1" applyAlignment="1">
      <x:alignment horizontal="center"/>
    </x:xf>
    <x:xf numFmtId="0" fontId="6" fillId="8" borderId="8" xfId="0" applyNumberFormat="1" applyFont="1" applyFill="1" applyBorder="1" applyAlignment="1">
      <x:alignment horizontal="center" vertical="center"/>
    </x:xf>
    <x:xf numFmtId="0" fontId="6" fillId="8" borderId="9" xfId="0" applyNumberFormat="1" applyFont="1" applyFill="1" applyBorder="1" applyAlignment="1">
      <x:alignment horizontal="center" vertical="center"/>
    </x:xf>
    <x:xf numFmtId="0" fontId="6" fillId="8" borderId="10" xfId="0" applyNumberFormat="1" applyFont="1" applyFill="1" applyBorder="1" applyAlignment="1">
      <x:alignment horizontal="center" vertical="center"/>
    </x:xf>
    <x:xf numFmtId="0" fontId="6" fillId="8" borderId="11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6" fillId="8" borderId="12" xfId="0" applyNumberFormat="1" applyFont="1" applyFill="1" applyBorder="1" applyAlignment="1">
      <x:alignment horizontal="center" vertical="center"/>
    </x:xf>
    <x:xf numFmtId="0" fontId="6" fillId="8" borderId="13" xfId="0" applyNumberFormat="1" applyFont="1" applyFill="1" applyBorder="1" applyAlignment="1">
      <x:alignment horizontal="center" vertical="center"/>
    </x:xf>
    <x:xf numFmtId="0" fontId="6" fillId="8" borderId="4" xfId="0" applyNumberFormat="1" applyFont="1" applyFill="1" applyBorder="1" applyAlignment="1">
      <x:alignment horizontal="center" vertical="center"/>
    </x:xf>
    <x:xf numFmtId="0" fontId="6" fillId="8" borderId="14" xfId="0" applyNumberFormat="1" applyFont="1" applyFill="1" applyBorder="1" applyAlignment="1">
      <x:alignment horizontal="center" vertical="center"/>
    </x:xf>
    <x:xf numFmtId="202" fontId="6" fillId="8" borderId="8" xfId="0" applyNumberFormat="1" applyFont="1" applyFill="1" applyBorder="1" applyAlignment="1">
      <x:alignment horizontal="center" vertical="center"/>
    </x:xf>
    <x:xf numFmtId="202" fontId="6" fillId="6" borderId="8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0" fontId="7" fillId="3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5" xfId="0" applyNumberFormat="1" applyFont="1" applyFill="1" applyBorder="1"/>
    <x:xf numFmtId="201" fontId="8" fillId="9" borderId="15" xfId="0" applyNumberFormat="1" applyFont="1" applyFill="1" applyBorder="1"/>
    <x:xf numFmtId="202" fontId="8" fillId="9" borderId="15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8" xfId="0" applyNumberFormat="1" applyFont="1" applyFill="1" applyBorder="1"/>
    <x:xf numFmtId="0" fontId="4" fillId="10" borderId="9" xfId="0" applyNumberFormat="1" applyFont="1" applyFill="1" applyBorder="1"/>
    <x:xf numFmtId="0" fontId="4" fillId="10" borderId="10" xfId="0" applyNumberFormat="1" applyFont="1" applyFill="1" applyBorder="1"/>
    <x:xf numFmtId="0" fontId="4" fillId="10" borderId="13" xfId="0" applyNumberFormat="1" applyFont="1" applyFill="1" applyBorder="1"/>
    <x:xf numFmtId="0" fontId="4" fillId="10" borderId="4" xfId="0" applyNumberFormat="1" applyFont="1" applyFill="1" applyBorder="1"/>
    <x:xf numFmtId="0" fontId="4" fillId="10" borderId="14" xfId="0" applyNumberFormat="1" applyFont="1" applyFill="1" applyBorder="1"/>
    <x:xf numFmtId="0" fontId="4" fillId="10" borderId="8" xfId="0" applyNumberFormat="1" applyFont="1" applyFill="1" applyBorder="1" applyAlignment="1">
      <x:alignment wrapText="1"/>
    </x:xf>
    <x:xf numFmtId="0" fontId="4" fillId="10" borderId="9" xfId="0" applyNumberFormat="1" applyFont="1" applyFill="1" applyBorder="1" applyAlignment="1">
      <x:alignment wrapText="1"/>
    </x:xf>
    <x:xf numFmtId="0" fontId="4" fillId="10" borderId="10" xfId="0" applyNumberFormat="1" applyFont="1" applyFill="1" applyBorder="1" applyAlignment="1">
      <x:alignment wrapText="1"/>
    </x:xf>
    <x:xf numFmtId="0" fontId="4" fillId="10" borderId="13" xfId="0" applyNumberFormat="1" applyFont="1" applyFill="1" applyBorder="1" applyAlignment="1">
      <x:alignment wrapText="1"/>
    </x:xf>
    <x:xf numFmtId="0" fontId="4" fillId="10" borderId="4" xfId="0" applyNumberFormat="1" applyFont="1" applyFill="1" applyBorder="1" applyAlignment="1">
      <x:alignment wrapText="1"/>
    </x:xf>
    <x:xf numFmtId="0" fontId="4" fillId="10" borderId="14" xfId="0" applyNumberFormat="1" applyFont="1" applyFill="1" applyBorder="1" applyAlignment="1">
      <x:alignment wrapText="1"/>
    </x:xf>
    <x:xf numFmtId="0" fontId="4" fillId="10" borderId="8" xfId="0" applyNumberFormat="1" applyFont="1" applyFill="1" applyBorder="1" applyAlignment="1">
      <x:alignment horizontal="left" wrapText="1"/>
    </x:xf>
    <x:xf numFmtId="0" fontId="4" fillId="10" borderId="9" xfId="0" applyNumberFormat="1" applyFont="1" applyFill="1" applyBorder="1" applyAlignment="1">
      <x:alignment horizontal="left" wrapText="1"/>
    </x:xf>
    <x:xf numFmtId="0" fontId="4" fillId="10" borderId="10" xfId="0" applyNumberFormat="1" applyFont="1" applyFill="1" applyBorder="1" applyAlignment="1">
      <x:alignment horizontal="left" wrapText="1"/>
    </x:xf>
    <x:xf numFmtId="0" fontId="4" fillId="10" borderId="13" xfId="0" applyNumberFormat="1" applyFont="1" applyFill="1" applyBorder="1" applyAlignment="1">
      <x:alignment horizontal="left" wrapText="1"/>
    </x:xf>
    <x:xf numFmtId="0" fontId="4" fillId="10" borderId="4" xfId="0" applyNumberFormat="1" applyFont="1" applyFill="1" applyBorder="1" applyAlignment="1">
      <x:alignment horizontal="left" wrapText="1"/>
    </x:xf>
    <x:xf numFmtId="0" fontId="4" fillId="10" borderId="14" xfId="0" applyNumberFormat="1" applyFont="1" applyFill="1" applyBorder="1" applyAlignment="1">
      <x:alignment horizontal="left" wrapText="1"/>
    </x:xf>
    <x:xf numFmtId="0" fontId="4" fillId="10" borderId="8" xfId="0" applyNumberFormat="1" applyFont="1" applyFill="1" applyBorder="1" applyAlignment="1">
      <x:alignment horizontal="left" vertical="center" wrapText="1"/>
    </x:xf>
    <x:xf numFmtId="0" fontId="4" fillId="10" borderId="9" xfId="0" applyNumberFormat="1" applyFont="1" applyFill="1" applyBorder="1" applyAlignment="1">
      <x:alignment horizontal="left" vertical="center" wrapText="1"/>
    </x:xf>
    <x:xf numFmtId="0" fontId="4" fillId="10" borderId="10" xfId="0" applyNumberFormat="1" applyFont="1" applyFill="1" applyBorder="1" applyAlignment="1">
      <x:alignment horizontal="left" vertical="center" wrapText="1"/>
    </x:xf>
    <x:xf numFmtId="0" fontId="4" fillId="10" borderId="13" xfId="0" applyNumberFormat="1" applyFont="1" applyFill="1" applyBorder="1" applyAlignment="1">
      <x:alignment horizontal="left" vertical="center" wrapText="1"/>
    </x:xf>
    <x:xf numFmtId="0" fontId="4" fillId="10" borderId="4" xfId="0" applyNumberFormat="1" applyFont="1" applyFill="1" applyBorder="1" applyAlignment="1">
      <x:alignment horizontal="left" vertical="center" wrapText="1"/>
    </x:xf>
    <x:xf numFmtId="0" fontId="4" fillId="10" borderId="14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18" xfId="0" applyNumberFormat="1" applyFont="1" applyFill="1" applyBorder="1"/>
    <x:xf numFmtId="0" fontId="9" fillId="5" borderId="19" xfId="0" applyNumberFormat="1" applyFont="1" applyFill="1" applyBorder="1"/>
    <x:xf numFmtId="0" fontId="9" fillId="5" borderId="20" xfId="0" applyNumberFormat="1" applyFont="1" applyFill="1" applyBorder="1"/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9" fillId="5" borderId="23" xfId="0" applyNumberFormat="1" applyFont="1" applyFill="1" applyBorder="1"/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18" xfId="0" applyNumberFormat="1" applyFont="1" applyFill="1" applyBorder="1" applyAlignment="1">
      <x:alignment wrapText="1"/>
    </x:xf>
    <x:xf numFmtId="0" fontId="9" fillId="5" borderId="19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20" xfId="0" applyNumberFormat="1" applyFont="1" applyFill="1" applyBorder="1" applyAlignment="1">
      <x:alignment wrapText="1"/>
    </x:xf>
    <x:xf numFmtId="0" fontId="9" fillId="5" borderId="21" xfId="0" applyNumberFormat="1" applyFont="1" applyFill="1" applyBorder="1" applyAlignment="1">
      <x:alignment wrapText="1"/>
    </x:xf>
    <x:xf numFmtId="0" fontId="9" fillId="5" borderId="22" xfId="0" applyNumberFormat="1" applyFont="1" applyFill="1" applyBorder="1" applyAlignment="1">
      <x:alignment wrapText="1"/>
    </x:xf>
    <x:xf numFmtId="0" fontId="9" fillId="5" borderId="23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horizontal="left" wrapText="1"/>
    </x:xf>
    <x:xf numFmtId="0" fontId="9" fillId="5" borderId="17" xfId="0" applyNumberFormat="1" applyFont="1" applyFill="1" applyBorder="1" applyAlignment="1">
      <x:alignment horizontal="left" wrapText="1"/>
    </x:xf>
    <x:xf numFmtId="0" fontId="9" fillId="5" borderId="18" xfId="0" applyNumberFormat="1" applyFont="1" applyFill="1" applyBorder="1" applyAlignment="1">
      <x:alignment horizontal="left" wrapText="1"/>
    </x:xf>
    <x:xf numFmtId="0" fontId="9" fillId="5" borderId="19" xfId="0" applyNumberFormat="1" applyFont="1" applyFill="1" applyBorder="1" applyAlignment="1">
      <x:alignment horizontal="left" wrapText="1"/>
    </x:xf>
    <x:xf numFmtId="0" fontId="9" fillId="5" borderId="0" xfId="0" applyNumberFormat="1" applyFont="1" applyFill="1" applyBorder="1" applyAlignment="1">
      <x:alignment horizontal="left" wrapText="1"/>
    </x:xf>
    <x:xf numFmtId="0" fontId="9" fillId="5" borderId="20" xfId="0" applyNumberFormat="1" applyFont="1" applyFill="1" applyBorder="1" applyAlignment="1">
      <x:alignment horizontal="left" wrapText="1"/>
    </x:xf>
    <x:xf numFmtId="0" fontId="9" fillId="5" borderId="21" xfId="0" applyNumberFormat="1" applyFont="1" applyFill="1" applyBorder="1" applyAlignment="1">
      <x:alignment horizontal="left" wrapText="1"/>
    </x:xf>
    <x:xf numFmtId="0" fontId="9" fillId="5" borderId="22" xfId="0" applyNumberFormat="1" applyFont="1" applyFill="1" applyBorder="1" applyAlignment="1">
      <x:alignment horizontal="left" wrapText="1"/>
    </x:xf>
    <x:xf numFmtId="0" fontId="9" fillId="5" borderId="23" xfId="0" applyNumberFormat="1" applyFont="1" applyFill="1" applyBorder="1" applyAlignment="1">
      <x:alignment horizontal="left" wrapText="1"/>
    </x:xf>
    <x:xf numFmtId="0" fontId="9" fillId="5" borderId="16" xfId="0" applyNumberFormat="1" applyFont="1" applyFill="1" applyBorder="1" applyAlignment="1">
      <x:alignment horizontal="left" vertical="center" wrapText="1"/>
    </x:xf>
    <x:xf numFmtId="0" fontId="9" fillId="5" borderId="17" xfId="0" applyNumberFormat="1" applyFont="1" applyFill="1" applyBorder="1" applyAlignment="1">
      <x:alignment horizontal="left" vertical="center" wrapText="1"/>
    </x:xf>
    <x:xf numFmtId="0" fontId="9" fillId="5" borderId="18" xfId="0" applyNumberFormat="1" applyFont="1" applyFill="1" applyBorder="1" applyAlignment="1">
      <x:alignment horizontal="left" vertical="center" wrapText="1"/>
    </x:xf>
    <x:xf numFmtId="0" fontId="9" fillId="5" borderId="19" xfId="0" applyNumberFormat="1" applyFont="1" applyFill="1" applyBorder="1" applyAlignment="1">
      <x:alignment horizontal="left" vertical="center" wrapText="1"/>
    </x:xf>
    <x:xf numFmtId="0" fontId="9" fillId="5" borderId="0" xfId="0" applyNumberFormat="1" applyFont="1" applyFill="1" applyBorder="1" applyAlignment="1">
      <x:alignment horizontal="left" vertical="center" wrapText="1"/>
    </x:xf>
    <x:xf numFmtId="0" fontId="9" fillId="5" borderId="20" xfId="0" applyNumberFormat="1" applyFont="1" applyFill="1" applyBorder="1" applyAlignment="1">
      <x:alignment horizontal="left" vertical="center" wrapText="1"/>
    </x:xf>
    <x:xf numFmtId="0" fontId="9" fillId="5" borderId="21" xfId="0" applyNumberFormat="1" applyFont="1" applyFill="1" applyBorder="1" applyAlignment="1">
      <x:alignment horizontal="left" vertical="center" wrapText="1"/>
    </x:xf>
    <x:xf numFmtId="0" fontId="9" fillId="5" borderId="22" xfId="0" applyNumberFormat="1" applyFont="1" applyFill="1" applyBorder="1" applyAlignment="1">
      <x:alignment horizontal="left" vertical="center" wrapText="1"/>
    </x:xf>
    <x:xf numFmtId="0" fontId="9" fillId="5" borderId="23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202" fontId="8" fillId="0" borderId="4" xfId="0" applyNumberFormat="1" applyFont="1" applyFill="1" applyBorder="1" applyAlignment="1">
      <x:alignment vertical="top" wrapText="1"/>
    </x:xf>
    <x:xf numFmtId="202" fontId="8" fillId="0" borderId="5" xfId="0" applyNumberFormat="1" applyFont="1" applyFill="1" applyBorder="1" applyAlignment="1">
      <x:alignment vertical="top" wrapText="1"/>
    </x:xf>
    <x:xf numFmtId="202" fontId="8" fillId="5" borderId="4" xfId="0" applyNumberFormat="1" applyFont="1" applyFill="1" applyBorder="1" applyAlignment="1">
      <x:alignment vertical="top" wrapText="1"/>
    </x:xf>
    <x:xf numFmtId="202" fontId="8" fillId="5" borderId="5" xfId="0" applyNumberFormat="1" applyFont="1" applyFill="1" applyBorder="1" applyAlignment="1">
      <x:alignment vertical="top" wrapText="1"/>
    </x:xf>
    <x:xf numFmtId="202" fontId="10" fillId="5" borderId="4" xfId="0" applyNumberFormat="1" applyFont="1" applyFill="1" applyBorder="1" applyAlignment="1">
      <x:alignment vertical="top" wrapText="1"/>
    </x:xf>
    <x:xf numFmtId="202" fontId="10" fillId="5" borderId="5" xfId="0" applyNumberFormat="1" applyFont="1" applyFill="1" applyBorder="1" applyAlignment="1">
      <x:alignment vertical="top" wrapText="1"/>
    </x:xf>
    <x:xf numFmtId="202" fontId="10" fillId="5" borderId="4" xfId="0" applyNumberFormat="1" applyFont="1" applyFill="1" applyBorder="1" applyAlignment="1">
      <x:alignment horizontal="center" vertical="top" wrapText="1"/>
    </x:xf>
    <x:xf numFmtId="202" fontId="10" fillId="5" borderId="5" xfId="0" applyNumberFormat="1" applyFont="1" applyFill="1" applyBorder="1" applyAlignment="1">
      <x:alignment horizontal="center" vertical="top" wrapText="1"/>
    </x:xf>
    <x:xf numFmtId="202" fontId="10" fillId="5" borderId="4" xfId="0" applyNumberFormat="1" applyFont="1" applyFill="1" applyBorder="1" applyAlignment="1">
      <x:alignment horizontal="center" vertical="center" wrapText="1"/>
    </x:xf>
    <x:xf numFmtId="202" fontId="10" fillId="5" borderId="5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/>
    <x:xf numFmtId="0" fontId="11" fillId="4" borderId="8" xfId="0" applyNumberFormat="1" applyFont="1" applyFill="1" applyBorder="1"/>
    <x:xf numFmtId="0" fontId="11" fillId="4" borderId="9" xfId="0" applyNumberFormat="1" applyFont="1" applyFill="1" applyBorder="1"/>
    <x:xf numFmtId="0" fontId="11" fillId="4" borderId="10" xfId="0" applyNumberFormat="1" applyFont="1" applyFill="1" applyBorder="1"/>
    <x:xf numFmtId="0" fontId="11" fillId="4" borderId="13" xfId="0" applyNumberFormat="1" applyFont="1" applyFill="1" applyBorder="1"/>
    <x:xf numFmtId="0" fontId="11" fillId="4" borderId="4" xfId="0" applyNumberFormat="1" applyFont="1" applyFill="1" applyBorder="1"/>
    <x:xf numFmtId="0" fontId="11" fillId="4" borderId="14" xfId="0" applyNumberFormat="1" applyFont="1" applyFill="1" applyBorder="1"/>
    <x:xf numFmtId="0" fontId="11" fillId="4" borderId="8" xfId="0" applyNumberFormat="1" applyFont="1" applyFill="1" applyBorder="1" applyAlignment="1">
      <x:alignment wrapText="1"/>
    </x:xf>
    <x:xf numFmtId="0" fontId="11" fillId="4" borderId="9" xfId="0" applyNumberFormat="1" applyFont="1" applyFill="1" applyBorder="1" applyAlignment="1">
      <x:alignment wrapText="1"/>
    </x:xf>
    <x:xf numFmtId="0" fontId="11" fillId="4" borderId="10" xfId="0" applyNumberFormat="1" applyFont="1" applyFill="1" applyBorder="1" applyAlignment="1">
      <x:alignment wrapText="1"/>
    </x:xf>
    <x:xf numFmtId="0" fontId="11" fillId="4" borderId="13" xfId="0" applyNumberFormat="1" applyFont="1" applyFill="1" applyBorder="1" applyAlignment="1">
      <x:alignment wrapText="1"/>
    </x:xf>
    <x:xf numFmtId="0" fontId="11" fillId="4" borderId="4" xfId="0" applyNumberFormat="1" applyFont="1" applyFill="1" applyBorder="1" applyAlignment="1">
      <x:alignment wrapText="1"/>
    </x:xf>
    <x:xf numFmtId="0" fontId="11" fillId="4" borderId="14" xfId="0" applyNumberFormat="1" applyFont="1" applyFill="1" applyBorder="1" applyAlignment="1">
      <x:alignment wrapText="1"/>
    </x:xf>
    <x:xf numFmtId="0" fontId="11" fillId="4" borderId="8" xfId="0" applyNumberFormat="1" applyFont="1" applyFill="1" applyBorder="1" applyAlignment="1">
      <x:alignment vertical="center" wrapText="1"/>
    </x:xf>
    <x:xf numFmtId="0" fontId="11" fillId="4" borderId="9" xfId="0" applyNumberFormat="1" applyFont="1" applyFill="1" applyBorder="1" applyAlignment="1">
      <x:alignment vertical="center" wrapText="1"/>
    </x:xf>
    <x:xf numFmtId="0" fontId="11" fillId="4" borderId="10" xfId="0" applyNumberFormat="1" applyFont="1" applyFill="1" applyBorder="1" applyAlignment="1">
      <x:alignment vertical="center" wrapText="1"/>
    </x:xf>
    <x:xf numFmtId="0" fontId="11" fillId="4" borderId="13" xfId="0" applyNumberFormat="1" applyFont="1" applyFill="1" applyBorder="1" applyAlignment="1">
      <x:alignment vertical="center" wrapText="1"/>
    </x:xf>
    <x:xf numFmtId="0" fontId="11" fillId="4" borderId="4" xfId="0" applyNumberFormat="1" applyFont="1" applyFill="1" applyBorder="1" applyAlignment="1">
      <x:alignment vertical="center" wrapText="1"/>
    </x:xf>
    <x:xf numFmtId="0" fontId="11" fillId="4" borderId="14" xfId="0" applyNumberFormat="1" applyFont="1" applyFill="1" applyBorder="1" applyAlignment="1">
      <x:alignment vertical="center" wrapText="1"/>
    </x:xf>
    <x:xf numFmtId="0" fontId="4" fillId="10" borderId="8" xfId="0" applyNumberFormat="1" applyFont="1" applyFill="1" applyBorder="1" applyAlignment="1">
      <x:alignment vertical="center" wrapText="1"/>
    </x:xf>
    <x:xf numFmtId="0" fontId="4" fillId="10" borderId="9" xfId="0" applyNumberFormat="1" applyFont="1" applyFill="1" applyBorder="1" applyAlignment="1">
      <x:alignment vertical="center" wrapText="1"/>
    </x:xf>
    <x:xf numFmtId="0" fontId="4" fillId="10" borderId="10" xfId="0" applyNumberFormat="1" applyFont="1" applyFill="1" applyBorder="1" applyAlignment="1">
      <x:alignment vertical="center" wrapText="1"/>
    </x:xf>
    <x:xf numFmtId="0" fontId="4" fillId="10" borderId="13" xfId="0" applyNumberFormat="1" applyFont="1" applyFill="1" applyBorder="1" applyAlignment="1">
      <x:alignment vertical="center" wrapText="1"/>
    </x:xf>
    <x:xf numFmtId="0" fontId="4" fillId="10" borderId="4" xfId="0" applyNumberFormat="1" applyFont="1" applyFill="1" applyBorder="1" applyAlignment="1">
      <x:alignment vertical="center" wrapText="1"/>
    </x:xf>
    <x:xf numFmtId="0" fontId="4" fillId="10" borderId="14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2" fillId="4" borderId="4" xfId="0" applyNumberFormat="1" applyFont="1" applyFill="1" applyBorder="1" applyAlignment="1">
      <x:alignment vertical="top" wrapText="1"/>
    </x:xf>
    <x:xf numFmtId="0" fontId="12" fillId="4" borderId="5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201" fontId="1" fillId="0" borderId="4" xfId="0" applyNumberFormat="1" applyFont="1" applyFill="1" applyBorder="1" applyAlignment="1">
      <x:alignment horizontal="center" vertical="top" wrapText="1"/>
    </x:xf>
    <x:xf numFmtId="201" fontId="1" fillId="0" borderId="5" xfId="0" applyNumberFormat="1" applyFont="1" applyFill="1" applyBorder="1" applyAlignment="1">
      <x:alignment horizontal="center" vertical="top" wrapText="1"/>
    </x:xf>
    <x:xf numFmtId="202" fontId="1" fillId="0" borderId="4" xfId="0" applyNumberFormat="1" applyFont="1" applyFill="1" applyBorder="1" applyAlignment="1">
      <x:alignment horizontal="center" vertical="top" wrapText="1"/>
    </x:xf>
    <x:xf numFmtId="202" fontId="1" fillId="0" borderId="5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8" fillId="0" borderId="0" xfId="0" applyNumberFormat="1" applyFont="1" applyFill="1" applyBorder="1"/>
    <x:xf numFmtId="200" fontId="8" fillId="0" borderId="4" xfId="0" applyNumberFormat="1" applyFont="1" applyFill="1" applyBorder="1"/>
    <x:xf numFmtId="200" fontId="8" fillId="0" borderId="5" xfId="0" applyNumberFormat="1" applyFont="1" applyFill="1" applyBorder="1"/>
    <x:xf numFmtId="200" fontId="8" fillId="0" borderId="4" xfId="0" applyNumberFormat="1" applyFont="1" applyFill="1" applyBorder="1" applyAlignment="1">
      <x:alignment wrapText="1"/>
    </x:xf>
    <x:xf numFmtId="200" fontId="8" fillId="0" borderId="5" xfId="0" applyNumberFormat="1" applyFont="1" applyFill="1" applyBorder="1" applyAlignment="1">
      <x:alignment wrapText="1"/>
    </x:xf>
    <x:xf numFmtId="200" fontId="8" fillId="0" borderId="4" xfId="0" applyNumberFormat="1" applyFont="1" applyFill="1" applyBorder="1" applyAlignment="1">
      <x:alignment vertical="top" wrapText="1"/>
    </x:xf>
    <x:xf numFmtId="200" fontId="8" fillId="0" borderId="5" xfId="0" applyNumberFormat="1" applyFont="1" applyFill="1" applyBorder="1" applyAlignment="1">
      <x:alignment vertical="top" wrapText="1"/>
    </x:xf>
    <x:xf numFmtId="0" fontId="13" fillId="5" borderId="4" xfId="0" applyNumberFormat="1" applyFont="1" applyFill="1" applyBorder="1" applyAlignment="1">
      <x:alignment vertical="top" wrapText="1"/>
    </x:xf>
    <x:xf numFmtId="0" fontId="13" fillId="5" borderId="5" xfId="0" applyNumberFormat="1" applyFont="1" applyFill="1" applyBorder="1" applyAlignment="1">
      <x:alignment vertical="top" wrapText="1"/>
    </x:xf>
    <x:xf numFmtId="0" fontId="13" fillId="5" borderId="4" xfId="0" applyNumberFormat="1" applyFont="1" applyFill="1" applyBorder="1" applyAlignment="1">
      <x:alignment horizontal="center" vertical="top" wrapText="1"/>
    </x:xf>
    <x:xf numFmtId="0" fontId="13" fillId="5" borderId="5" xfId="0" applyNumberFormat="1" applyFont="1" applyFill="1" applyBorder="1" applyAlignment="1">
      <x:alignment horizontal="center" vertical="top" wrapText="1"/>
    </x:xf>
    <x:xf numFmtId="0" fontId="14" fillId="4" borderId="0" xfId="0" applyNumberFormat="1" applyFont="1" applyFill="1" applyBorder="1"/>
    <x:xf numFmtId="0" fontId="14" fillId="4" borderId="8" xfId="0" applyNumberFormat="1" applyFont="1" applyFill="1" applyBorder="1"/>
    <x:xf numFmtId="0" fontId="14" fillId="4" borderId="9" xfId="0" applyNumberFormat="1" applyFont="1" applyFill="1" applyBorder="1"/>
    <x:xf numFmtId="0" fontId="14" fillId="4" borderId="10" xfId="0" applyNumberFormat="1" applyFont="1" applyFill="1" applyBorder="1"/>
    <x:xf numFmtId="0" fontId="14" fillId="4" borderId="13" xfId="0" applyNumberFormat="1" applyFont="1" applyFill="1" applyBorder="1"/>
    <x:xf numFmtId="0" fontId="14" fillId="4" borderId="4" xfId="0" applyNumberFormat="1" applyFont="1" applyFill="1" applyBorder="1"/>
    <x:xf numFmtId="0" fontId="14" fillId="4" borderId="14" xfId="0" applyNumberFormat="1" applyFont="1" applyFill="1" applyBorder="1"/>
    <x:xf numFmtId="0" fontId="14" fillId="4" borderId="8" xfId="0" applyNumberFormat="1" applyFont="1" applyFill="1" applyBorder="1" applyAlignment="1">
      <x:alignment wrapText="1"/>
    </x:xf>
    <x:xf numFmtId="0" fontId="14" fillId="4" borderId="9" xfId="0" applyNumberFormat="1" applyFont="1" applyFill="1" applyBorder="1" applyAlignment="1">
      <x:alignment wrapText="1"/>
    </x:xf>
    <x:xf numFmtId="0" fontId="14" fillId="4" borderId="10" xfId="0" applyNumberFormat="1" applyFont="1" applyFill="1" applyBorder="1" applyAlignment="1">
      <x:alignment wrapText="1"/>
    </x:xf>
    <x:xf numFmtId="0" fontId="14" fillId="4" borderId="13" xfId="0" applyNumberFormat="1" applyFont="1" applyFill="1" applyBorder="1" applyAlignment="1">
      <x:alignment wrapText="1"/>
    </x:xf>
    <x:xf numFmtId="0" fontId="14" fillId="4" borderId="4" xfId="0" applyNumberFormat="1" applyFont="1" applyFill="1" applyBorder="1" applyAlignment="1">
      <x:alignment wrapText="1"/>
    </x:xf>
    <x:xf numFmtId="0" fontId="14" fillId="4" borderId="14" xfId="0" applyNumberFormat="1" applyFont="1" applyFill="1" applyBorder="1" applyAlignment="1">
      <x:alignment wrapText="1"/>
    </x:xf>
    <x:xf numFmtId="0" fontId="14" fillId="4" borderId="8" xfId="0" applyNumberFormat="1" applyFont="1" applyFill="1" applyBorder="1" applyAlignment="1">
      <x:alignment vertical="center" wrapText="1"/>
    </x:xf>
    <x:xf numFmtId="0" fontId="14" fillId="4" borderId="9" xfId="0" applyNumberFormat="1" applyFont="1" applyFill="1" applyBorder="1" applyAlignment="1">
      <x:alignment vertical="center" wrapText="1"/>
    </x:xf>
    <x:xf numFmtId="0" fontId="14" fillId="4" borderId="10" xfId="0" applyNumberFormat="1" applyFont="1" applyFill="1" applyBorder="1" applyAlignment="1">
      <x:alignment vertical="center" wrapText="1"/>
    </x:xf>
    <x:xf numFmtId="0" fontId="14" fillId="4" borderId="13" xfId="0" applyNumberFormat="1" applyFont="1" applyFill="1" applyBorder="1" applyAlignment="1">
      <x:alignment vertical="center" wrapText="1"/>
    </x:xf>
    <x:xf numFmtId="0" fontId="14" fillId="4" borderId="4" xfId="0" applyNumberFormat="1" applyFont="1" applyFill="1" applyBorder="1" applyAlignment="1">
      <x:alignment vertical="center" wrapText="1"/>
    </x:xf>
    <x:xf numFmtId="0" fontId="14" fillId="4" borderId="14" xfId="0" applyNumberFormat="1" applyFont="1" applyFill="1" applyBorder="1" applyAlignment="1">
      <x:alignment vertical="center" wrapText="1"/>
    </x:xf>
    <x:xf numFmtId="0" fontId="15" fillId="3" borderId="0" xfId="0" applyNumberFormat="1" applyFont="1" applyFill="1" applyBorder="1" applyAlignment="1">
      <x:alignment horizontal="left" vertical="center"/>
    </x:xf>
    <x:xf numFmtId="0" fontId="16" fillId="4" borderId="0" xfId="0" applyNumberFormat="1" applyFont="1" applyFill="1" applyBorder="1" applyAlignment="1">
      <x:alignment horizontal="left" vertical="center"/>
    </x:xf>
    <x:xf numFmtId="0" fontId="17" fillId="0" borderId="0" xfId="0" applyNumberFormat="1" applyFont="1" applyFill="1" applyBorder="1"/>
    <x:xf numFmtId="0" fontId="18" fillId="3" borderId="6" xfId="0" applyNumberFormat="1" applyFont="1" applyFill="1" applyBorder="1" applyAlignment="1">
      <x:alignment horizontal="center" vertical="center" wrapText="1"/>
    </x:xf>
    <x:xf numFmtId="0" fontId="18" fillId="3" borderId="5" xfId="0" applyNumberFormat="1" applyFont="1" applyFill="1" applyBorder="1" applyAlignment="1">
      <x:alignment horizontal="center" vertical="center" wrapText="1"/>
    </x:xf>
    <x:xf numFmtId="0" fontId="18" fillId="3" borderId="7" xfId="0" applyNumberFormat="1" applyFont="1" applyFill="1" applyBorder="1" applyAlignment="1">
      <x:alignment horizontal="center" vertical="center" wrapText="1"/>
    </x:xf>
    <x:xf numFmtId="201" fontId="19" fillId="6" borderId="8" xfId="0" applyNumberFormat="1" applyFont="1" applyFill="1" applyBorder="1" applyAlignment="1">
      <x:alignment horizontal="center" vertical="center"/>
    </x:xf>
    <x:xf numFmtId="0" fontId="19" fillId="6" borderId="9" xfId="0" applyNumberFormat="1" applyFont="1" applyFill="1" applyBorder="1" applyAlignment="1">
      <x:alignment horizontal="center" vertical="center"/>
    </x:xf>
    <x:xf numFmtId="0" fontId="19" fillId="6" borderId="10" xfId="0" applyNumberFormat="1" applyFont="1" applyFill="1" applyBorder="1" applyAlignment="1">
      <x:alignment horizontal="center" vertical="center"/>
    </x:xf>
    <x:xf numFmtId="202" fontId="19" fillId="7" borderId="8" xfId="0" applyNumberFormat="1" applyFont="1" applyFill="1" applyBorder="1" applyAlignment="1">
      <x:alignment horizontal="center" vertical="center"/>
    </x:xf>
    <x:xf numFmtId="0" fontId="19" fillId="7" borderId="9" xfId="0" applyNumberFormat="1" applyFont="1" applyFill="1" applyBorder="1" applyAlignment="1">
      <x:alignment horizontal="center" vertical="center"/>
    </x:xf>
    <x:xf numFmtId="0" fontId="19" fillId="7" borderId="10" xfId="0" applyNumberFormat="1" applyFont="1" applyFill="1" applyBorder="1" applyAlignment="1">
      <x:alignment horizontal="center" vertical="center"/>
    </x:xf>
    <x:xf numFmtId="202" fontId="19" fillId="8" borderId="8" xfId="0" applyNumberFormat="1" applyFont="1" applyFill="1" applyBorder="1" applyAlignment="1">
      <x:alignment horizontal="center" vertical="center"/>
    </x:xf>
    <x:xf numFmtId="0" fontId="19" fillId="8" borderId="9" xfId="0" applyNumberFormat="1" applyFont="1" applyFill="1" applyBorder="1" applyAlignment="1">
      <x:alignment horizontal="center" vertical="center"/>
    </x:xf>
    <x:xf numFmtId="0" fontId="19" fillId="8" borderId="10" xfId="0" applyNumberFormat="1" applyFont="1" applyFill="1" applyBorder="1" applyAlignment="1">
      <x:alignment horizontal="center" vertical="center"/>
    </x:xf>
    <x:xf numFmtId="0" fontId="19" fillId="6" borderId="11" xfId="0" applyNumberFormat="1" applyFont="1" applyFill="1" applyBorder="1" applyAlignment="1">
      <x:alignment horizontal="center" vertical="center"/>
    </x:xf>
    <x:xf numFmtId="0" fontId="19" fillId="6" borderId="0" xfId="0" applyNumberFormat="1" applyFont="1" applyFill="1" applyBorder="1" applyAlignment="1">
      <x:alignment horizontal="center" vertical="center"/>
    </x:xf>
    <x:xf numFmtId="0" fontId="19" fillId="6" borderId="12" xfId="0" applyNumberFormat="1" applyFont="1" applyFill="1" applyBorder="1" applyAlignment="1">
      <x:alignment horizontal="center" vertical="center"/>
    </x:xf>
    <x:xf numFmtId="0" fontId="19" fillId="7" borderId="11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12" xfId="0" applyNumberFormat="1" applyFont="1" applyFill="1" applyBorder="1" applyAlignment="1">
      <x:alignment horizontal="center" vertical="center"/>
    </x:xf>
    <x:xf numFmtId="0" fontId="19" fillId="8" borderId="11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12" xfId="0" applyNumberFormat="1" applyFont="1" applyFill="1" applyBorder="1" applyAlignment="1">
      <x:alignment horizontal="center" vertical="center"/>
    </x:xf>
    <x:xf numFmtId="0" fontId="19" fillId="6" borderId="13" xfId="0" applyNumberFormat="1" applyFont="1" applyFill="1" applyBorder="1" applyAlignment="1">
      <x:alignment horizontal="center" vertical="center"/>
    </x:xf>
    <x:xf numFmtId="0" fontId="19" fillId="6" borderId="4" xfId="0" applyNumberFormat="1" applyFont="1" applyFill="1" applyBorder="1" applyAlignment="1">
      <x:alignment horizontal="center" vertical="center"/>
    </x:xf>
    <x:xf numFmtId="0" fontId="19" fillId="6" borderId="14" xfId="0" applyNumberFormat="1" applyFont="1" applyFill="1" applyBorder="1" applyAlignment="1">
      <x:alignment horizontal="center" vertical="center"/>
    </x:xf>
    <x:xf numFmtId="0" fontId="19" fillId="7" borderId="1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14" xfId="0" applyNumberFormat="1" applyFont="1" applyFill="1" applyBorder="1" applyAlignment="1">
      <x:alignment horizontal="center" vertical="center"/>
    </x:xf>
    <x:xf numFmtId="0" fontId="19" fillId="8" borderId="1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14" xfId="0" applyNumberFormat="1" applyFont="1" applyFill="1" applyBorder="1" applyAlignment="1">
      <x:alignment horizontal="center" vertical="center"/>
    </x:xf>
    <x:xf numFmtId="202" fontId="19" fillId="6" borderId="8" xfId="0" applyNumberFormat="1" applyFont="1" applyFill="1" applyBorder="1" applyAlignment="1">
      <x:alignment horizontal="center" vertical="center"/>
    </x:xf>
    <x:xf numFmtId="0" fontId="20" fillId="3" borderId="0" xfId="0" applyNumberFormat="1" applyFont="1" applyFill="1" applyBorder="1" applyAlignment="1">
      <x:alignment horizontal="left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0" fontId="18" fillId="2" borderId="3" xfId="0" applyNumberFormat="1" applyFont="1" applyFill="1" applyBorder="1" applyAlignment="1">
      <x:alignment horizontal="center" vertical="center" wrapText="1"/>
    </x:xf>
    <x:xf numFmtId="0" fontId="21" fillId="9" borderId="15" xfId="0" applyNumberFormat="1" applyFont="1" applyFill="1" applyBorder="1"/>
    <x:xf numFmtId="201" fontId="21" fillId="9" borderId="15" xfId="0" applyNumberFormat="1" applyFont="1" applyFill="1" applyBorder="1"/>
    <x:xf numFmtId="202" fontId="21" fillId="9" borderId="15" xfId="0" applyNumberFormat="1" applyFont="1" applyFill="1" applyBorder="1"/>
    <x:xf numFmtId="0" fontId="16" fillId="10" borderId="8" xfId="0" applyNumberFormat="1" applyFont="1" applyFill="1" applyBorder="1" applyAlignment="1">
      <x:alignment horizontal="left" vertical="center" wrapText="1"/>
    </x:xf>
    <x:xf numFmtId="0" fontId="16" fillId="10" borderId="9" xfId="0" applyNumberFormat="1" applyFont="1" applyFill="1" applyBorder="1" applyAlignment="1">
      <x:alignment horizontal="left" vertical="center" wrapText="1"/>
    </x:xf>
    <x:xf numFmtId="0" fontId="16" fillId="10" borderId="10" xfId="0" applyNumberFormat="1" applyFont="1" applyFill="1" applyBorder="1" applyAlignment="1">
      <x:alignment horizontal="left" vertical="center" wrapText="1"/>
    </x:xf>
    <x:xf numFmtId="0" fontId="16" fillId="10" borderId="13" xfId="0" applyNumberFormat="1" applyFont="1" applyFill="1" applyBorder="1" applyAlignment="1">
      <x:alignment horizontal="left" vertical="center" wrapText="1"/>
    </x:xf>
    <x:xf numFmtId="0" fontId="16" fillId="10" borderId="4" xfId="0" applyNumberFormat="1" applyFont="1" applyFill="1" applyBorder="1" applyAlignment="1">
      <x:alignment horizontal="left" vertical="center" wrapText="1"/>
    </x:xf>
    <x:xf numFmtId="0" fontId="16" fillId="10" borderId="14" xfId="0" applyNumberFormat="1" applyFont="1" applyFill="1" applyBorder="1" applyAlignment="1">
      <x:alignment horizontal="left" vertical="center" wrapText="1"/>
    </x:xf>
    <x:xf numFmtId="0" fontId="22" fillId="5" borderId="16" xfId="0" applyNumberFormat="1" applyFont="1" applyFill="1" applyBorder="1" applyAlignment="1">
      <x:alignment horizontal="left" vertical="center" wrapText="1"/>
    </x:xf>
    <x:xf numFmtId="0" fontId="22" fillId="5" borderId="17" xfId="0" applyNumberFormat="1" applyFont="1" applyFill="1" applyBorder="1" applyAlignment="1">
      <x:alignment horizontal="left" vertical="center" wrapText="1"/>
    </x:xf>
    <x:xf numFmtId="0" fontId="22" fillId="5" borderId="18" xfId="0" applyNumberFormat="1" applyFont="1" applyFill="1" applyBorder="1" applyAlignment="1">
      <x:alignment horizontal="left" vertical="center" wrapText="1"/>
    </x:xf>
    <x:xf numFmtId="0" fontId="22" fillId="5" borderId="19" xfId="0" applyNumberFormat="1" applyFont="1" applyFill="1" applyBorder="1" applyAlignment="1">
      <x:alignment horizontal="left" vertical="center" wrapText="1"/>
    </x:xf>
    <x:xf numFmtId="0" fontId="22" fillId="5" borderId="0" xfId="0" applyNumberFormat="1" applyFont="1" applyFill="1" applyBorder="1" applyAlignment="1">
      <x:alignment horizontal="left" vertical="center" wrapText="1"/>
    </x:xf>
    <x:xf numFmtId="0" fontId="22" fillId="5" borderId="20" xfId="0" applyNumberFormat="1" applyFont="1" applyFill="1" applyBorder="1" applyAlignment="1">
      <x:alignment horizontal="left" vertical="center" wrapText="1"/>
    </x:xf>
    <x:xf numFmtId="0" fontId="22" fillId="5" borderId="21" xfId="0" applyNumberFormat="1" applyFont="1" applyFill="1" applyBorder="1" applyAlignment="1">
      <x:alignment horizontal="left" vertical="center" wrapText="1"/>
    </x:xf>
    <x:xf numFmtId="0" fontId="22" fillId="5" borderId="22" xfId="0" applyNumberFormat="1" applyFont="1" applyFill="1" applyBorder="1" applyAlignment="1">
      <x:alignment horizontal="left" vertical="center" wrapText="1"/>
    </x:xf>
    <x:xf numFmtId="0" fontId="22" fillId="5" borderId="23" xfId="0" applyNumberFormat="1" applyFont="1" applyFill="1" applyBorder="1" applyAlignment="1">
      <x:alignment horizontal="left" vertical="center" wrapText="1"/>
    </x:xf>
    <x:xf numFmtId="0" fontId="18" fillId="2" borderId="2" xfId="0" applyNumberFormat="1" applyFont="1" applyFill="1" applyBorder="1" applyAlignment="1">
      <x:alignment horizontal="center" vertical="center" wrapText="1"/>
    </x:xf>
    <x:xf numFmtId="0" fontId="21" fillId="0" borderId="4" xfId="0" applyNumberFormat="1" applyFont="1" applyFill="1" applyBorder="1" applyAlignment="1">
      <x:alignment vertical="top" wrapText="1"/>
    </x:xf>
    <x:xf numFmtId="202" fontId="23" fillId="5" borderId="4" xfId="0" applyNumberFormat="1" applyFont="1" applyFill="1" applyBorder="1" applyAlignment="1">
      <x:alignment horizontal="center" vertical="center" wrapText="1"/>
    </x:xf>
    <x:xf numFmtId="0" fontId="21" fillId="0" borderId="5" xfId="0" applyNumberFormat="1" applyFont="1" applyFill="1" applyBorder="1" applyAlignment="1">
      <x:alignment vertical="top" wrapText="1"/>
    </x:xf>
    <x:xf numFmtId="202" fontId="23" fillId="5" borderId="5" xfId="0" applyNumberFormat="1" applyFont="1" applyFill="1" applyBorder="1" applyAlignment="1">
      <x:alignment horizontal="center" vertical="center" wrapText="1"/>
    </x:xf>
    <x:xf numFmtId="0" fontId="24" fillId="4" borderId="8" xfId="0" applyNumberFormat="1" applyFont="1" applyFill="1" applyBorder="1" applyAlignment="1">
      <x:alignment vertical="center" wrapText="1"/>
    </x:xf>
    <x:xf numFmtId="0" fontId="24" fillId="4" borderId="9" xfId="0" applyNumberFormat="1" applyFont="1" applyFill="1" applyBorder="1" applyAlignment="1">
      <x:alignment vertical="center" wrapText="1"/>
    </x:xf>
    <x:xf numFmtId="0" fontId="24" fillId="4" borderId="10" xfId="0" applyNumberFormat="1" applyFont="1" applyFill="1" applyBorder="1" applyAlignment="1">
      <x:alignment vertical="center" wrapText="1"/>
    </x:xf>
    <x:xf numFmtId="0" fontId="24" fillId="4" borderId="13" xfId="0" applyNumberFormat="1" applyFont="1" applyFill="1" applyBorder="1" applyAlignment="1">
      <x:alignment vertical="center" wrapText="1"/>
    </x:xf>
    <x:xf numFmtId="0" fontId="24" fillId="4" borderId="4" xfId="0" applyNumberFormat="1" applyFont="1" applyFill="1" applyBorder="1" applyAlignment="1">
      <x:alignment vertical="center" wrapText="1"/>
    </x:xf>
    <x:xf numFmtId="0" fontId="24" fillId="4" borderId="14" xfId="0" applyNumberFormat="1" applyFont="1" applyFill="1" applyBorder="1" applyAlignment="1">
      <x:alignment vertical="center" wrapText="1"/>
    </x:xf>
    <x:xf numFmtId="0" fontId="16" fillId="10" borderId="8" xfId="0" applyNumberFormat="1" applyFont="1" applyFill="1" applyBorder="1" applyAlignment="1">
      <x:alignment vertical="center" wrapText="1"/>
    </x:xf>
    <x:xf numFmtId="0" fontId="16" fillId="10" borderId="9" xfId="0" applyNumberFormat="1" applyFont="1" applyFill="1" applyBorder="1" applyAlignment="1">
      <x:alignment vertical="center" wrapText="1"/>
    </x:xf>
    <x:xf numFmtId="0" fontId="16" fillId="10" borderId="10" xfId="0" applyNumberFormat="1" applyFont="1" applyFill="1" applyBorder="1" applyAlignment="1">
      <x:alignment vertical="center" wrapText="1"/>
    </x:xf>
    <x:xf numFmtId="0" fontId="16" fillId="10" borderId="13" xfId="0" applyNumberFormat="1" applyFont="1" applyFill="1" applyBorder="1" applyAlignment="1">
      <x:alignment vertical="center" wrapText="1"/>
    </x:xf>
    <x:xf numFmtId="0" fontId="16" fillId="10" borderId="4" xfId="0" applyNumberFormat="1" applyFont="1" applyFill="1" applyBorder="1" applyAlignment="1">
      <x:alignment vertical="center" wrapText="1"/>
    </x:xf>
    <x:xf numFmtId="0" fontId="16" fillId="10" borderId="14" xfId="0" applyNumberFormat="1" applyFont="1" applyFill="1" applyBorder="1" applyAlignment="1">
      <x:alignment vertical="center" wrapText="1"/>
    </x:xf>
    <x:xf numFmtId="0" fontId="25" fillId="4" borderId="4" xfId="0" applyNumberFormat="1" applyFont="1" applyFill="1" applyBorder="1" applyAlignment="1">
      <x:alignment vertical="top" wrapText="1"/>
    </x:xf>
    <x:xf numFmtId="0" fontId="26" fillId="0" borderId="4" xfId="0" applyNumberFormat="1" applyFont="1" applyFill="1" applyBorder="1" applyAlignment="1">
      <x:alignment vertical="top" wrapText="1"/>
    </x:xf>
    <x:xf numFmtId="201" fontId="26" fillId="0" borderId="4" xfId="0" applyNumberFormat="1" applyFont="1" applyFill="1" applyBorder="1" applyAlignment="1">
      <x:alignment horizontal="center" vertical="top" wrapText="1"/>
    </x:xf>
    <x:xf numFmtId="202" fontId="26" fillId="0" borderId="4" xfId="0" applyNumberFormat="1" applyFont="1" applyFill="1" applyBorder="1" applyAlignment="1">
      <x:alignment horizontal="center" vertical="top" wrapText="1"/>
    </x:xf>
    <x:xf numFmtId="0" fontId="25" fillId="4" borderId="5" xfId="0" applyNumberFormat="1" applyFont="1" applyFill="1" applyBorder="1" applyAlignment="1">
      <x:alignment vertical="top" wrapText="1"/>
    </x:xf>
    <x:xf numFmtId="0" fontId="26" fillId="0" borderId="5" xfId="0" applyNumberFormat="1" applyFont="1" applyFill="1" applyBorder="1" applyAlignment="1">
      <x:alignment vertical="top" wrapText="1"/>
    </x:xf>
    <x:xf numFmtId="201" fontId="26" fillId="0" borderId="5" xfId="0" applyNumberFormat="1" applyFont="1" applyFill="1" applyBorder="1" applyAlignment="1">
      <x:alignment horizontal="center" vertical="top" wrapText="1"/>
    </x:xf>
    <x:xf numFmtId="202" fontId="26" fillId="0" borderId="5" xfId="0" applyNumberFormat="1" applyFont="1" applyFill="1" applyBorder="1" applyAlignment="1">
      <x:alignment horizontal="center" vertical="top" wrapText="1"/>
    </x:xf>
    <x:xf numFmtId="200" fontId="21" fillId="0" borderId="4" xfId="0" applyNumberFormat="1" applyFont="1" applyFill="1" applyBorder="1" applyAlignment="1">
      <x:alignment vertical="top" wrapText="1"/>
    </x:xf>
    <x:xf numFmtId="200" fontId="21" fillId="0" borderId="5" xfId="0" applyNumberFormat="1" applyFont="1" applyFill="1" applyBorder="1" applyAlignment="1">
      <x:alignment vertical="top" wrapText="1"/>
    </x:xf>
    <x:xf numFmtId="0" fontId="27" fillId="5" borderId="4" xfId="0" applyNumberFormat="1" applyFont="1" applyFill="1" applyBorder="1" applyAlignment="1">
      <x:alignment horizontal="center" vertical="top" wrapText="1"/>
    </x:xf>
    <x:xf numFmtId="0" fontId="27" fillId="5" borderId="5" xfId="0" applyNumberFormat="1" applyFont="1" applyFill="1" applyBorder="1" applyAlignment="1">
      <x:alignment horizontal="center" vertical="top" wrapText="1"/>
    </x:xf>
    <x:xf numFmtId="0" fontId="28" fillId="4" borderId="8" xfId="0" applyNumberFormat="1" applyFont="1" applyFill="1" applyBorder="1" applyAlignment="1">
      <x:alignment vertical="center" wrapText="1"/>
    </x:xf>
    <x:xf numFmtId="0" fontId="28" fillId="4" borderId="9" xfId="0" applyNumberFormat="1" applyFont="1" applyFill="1" applyBorder="1" applyAlignment="1">
      <x:alignment vertical="center" wrapText="1"/>
    </x:xf>
    <x:xf numFmtId="0" fontId="28" fillId="4" borderId="10" xfId="0" applyNumberFormat="1" applyFont="1" applyFill="1" applyBorder="1" applyAlignment="1">
      <x:alignment vertical="center" wrapText="1"/>
    </x:xf>
    <x:xf numFmtId="0" fontId="28" fillId="4" borderId="13" xfId="0" applyNumberFormat="1" applyFont="1" applyFill="1" applyBorder="1" applyAlignment="1">
      <x:alignment vertical="center" wrapText="1"/>
    </x:xf>
    <x:xf numFmtId="0" fontId="28" fillId="4" borderId="4" xfId="0" applyNumberFormat="1" applyFont="1" applyFill="1" applyBorder="1" applyAlignment="1">
      <x:alignment vertical="center" wrapText="1"/>
    </x:xf>
    <x:xf numFmtId="0" fontId="28" fillId="4" borderId="14" xfId="0" applyNumberFormat="1" applyFont="1" applyFill="1" applyBorder="1" applyAlignment="1">
      <x:alignment vertical="center" wrapText="1"/>
    </x:xf>
    <x:xf numFmtId="0" fontId="29" fillId="5" borderId="4" xfId="0" applyNumberFormat="1" applyFont="1" applyFill="1" applyBorder="1" applyAlignment="1">
      <x:alignment horizontal="center" vertical="top" wrapText="1"/>
    </x:xf>
    <x:xf numFmtId="201" fontId="26" fillId="0" borderId="4" xfId="0" applyNumberFormat="1" applyFont="1" applyFill="1" applyBorder="1" applyAlignment="1">
      <x:alignment vertical="top" wrapText="1"/>
    </x:xf>
    <x:xf numFmtId="0" fontId="29" fillId="5" borderId="5" xfId="0" applyNumberFormat="1" applyFont="1" applyFill="1" applyBorder="1" applyAlignment="1">
      <x:alignment horizontal="center" vertical="top" wrapText="1"/>
    </x:xf>
    <x:xf numFmtId="201" fontId="26" fillId="0" borderId="5" xfId="0" applyNumberFormat="1" applyFont="1" applyFill="1" applyBorder="1" applyAlignment="1">
      <x:alignment vertical="top" wrapText="1"/>
    </x:xf>
    <x:xf numFmtId="200" fontId="26" fillId="0" borderId="4" xfId="0" applyNumberFormat="1" applyFont="1" applyFill="1" applyBorder="1" applyAlignment="1">
      <x:alignment vertical="top" wrapText="1"/>
    </x:xf>
    <x:xf numFmtId="200" fontId="26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2eb653254445a" /><Relationship Type="http://schemas.openxmlformats.org/officeDocument/2006/relationships/theme" Target="/xl/theme/theme1.xml" Id="R0b76ade629434719" /><Relationship Type="http://schemas.openxmlformats.org/officeDocument/2006/relationships/sharedStrings" Target="/xl/sharedStrings.xml" Id="R69a08f8892d84cbb" /><Relationship Type="http://schemas.openxmlformats.org/officeDocument/2006/relationships/worksheet" Target="/xl/worksheets/sheet1.xml" Id="Ra60ebda5e4974a87" /><Relationship Type="http://schemas.openxmlformats.org/officeDocument/2006/relationships/worksheet" Target="/xl/worksheets/sheet2.xml" Id="R25a8c57de2264980" /><Relationship Type="http://schemas.openxmlformats.org/officeDocument/2006/relationships/worksheet" Target="/xl/worksheets/sheet3.xml" Id="R23cb40669bd54fd5" /><Relationship Type="http://schemas.openxmlformats.org/officeDocument/2006/relationships/worksheet" Target="/xl/worksheets/sheet4.xml" Id="R28e4f07f338746eb" /><Relationship Type="http://schemas.openxmlformats.org/officeDocument/2006/relationships/worksheet" Target="/xl/worksheets/sheet5.xml" Id="R54b00e73cadb4b8b" /><Relationship Type="http://schemas.openxmlformats.org/officeDocument/2006/relationships/worksheet" Target="/xl/worksheets/sheet6.xml" Id="R4ee6faf85c844273" /><Relationship Type="http://schemas.openxmlformats.org/officeDocument/2006/relationships/worksheet" Target="/xl/worksheets/sheet7.xml" Id="Rd0348b5081e844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5fbeb882084a53" /><Relationship Type="http://schemas.openxmlformats.org/officeDocument/2006/relationships/chart" Target="/xl/drawings/charts/chart2.xml" Id="R438936dd54884e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다중 구독이 일반화된 응답자 구성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응답자 수</c:v>
          </c:tx>
          <c:cat>
            <c:strRef>
              <c:f>'00_요약'!$A$18:$A$21</c:f>
              <c:strCache>
                <c:ptCount val="0"/>
              </c:strCache>
            </c:strRef>
          </c:cat>
          <c:val>
            <c:numRef>
              <c:f>'00_요약'!$B$18:$B$21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문제정의를 지지하는 핵심 응답률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응답률</c:v>
          </c:tx>
          <c:cat>
            <c:strRef>
              <c:f>'00_요약'!$A$33:$A$38</c:f>
              <c:strCache>
                <c:ptCount val="0"/>
              </c:strCache>
            </c:strRef>
          </c:cat>
          <c:val>
            <c:numRef>
              <c:f>'00_요약'!$B$33:$B$38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5fbeb882084a53"/>
        </a:graphicData>
      </a:graphic>
    </xdr:graphicFrame>
    <xdr:clientData/>
  </xdr:twoCellAnchor>
  <xdr:twoCellAnchor>
    <xdr:from>
      <xdr:col>3</xdr:col>
      <xdr:colOff>0</xdr:colOff>
      <xdr:row>31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8936dd54884e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SurveyQuestionSummary" displayName="SurveyQuestionSummary" ref="A5:G133" headerRowCount="1" totalsRowCount="0" totalsRowShown="0">
  <x:autoFilter ref="A5:G133"/>
  <x:tableColumns count="7">
    <x:tableColumn id="1" name="영역"/>
    <x:tableColumn id="2" name="문항"/>
    <x:tableColumn id="3" name="보기"/>
    <x:tableColumn id="4" name="응답수"/>
    <x:tableColumn id="5" name="응답률"/>
    <x:tableColumn id="6" name="분모(n)"/>
    <x:tableColumn id="7" name="집계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urveyRawResponses" displayName="SurveyRawResponses" ref="A1:Z101" headerRowCount="1" totalsRowCount="0" totalsRowShown="0">
  <x:autoFilter ref="A1:Z101"/>
  <x:tableColumns count="26">
    <x:tableColumn id="1" name="타임스탬프"/>
    <x:tableColumn id="2" name="연령대"/>
    <x:tableColumn id="3" name="직업/고용형태"/>
    <x:tableColumn id="4" name="현재 유료로 이용 중인 구독·멤버십·통신 관련 상품은 총 몇 개인가요?"/>
    <x:tableColumn id="5" name="현재 이용 중인 상품 유형을 모두 선택해주세요."/>
    <x:tableColumn id="6" name="월평균 구독·멤버십 관련 지출액은 어느 정도인가요?"/>
    <x:tableColumn id="7" name="1. 현재 이용 중인 통신요금제·멤버십·결합상품에 어떤 혜택이 포함되어 있는지 얼마나 알고 있나요?"/>
    <x:tableColumn id="8" name="2. 상품 가입 후, 놓치고 있던 혜택을 뒤늦게 알게된 경험이 있나요?"/>
    <x:tableColumn id="9" name="3. 내가 받을 수 있는 혜택이나 적용 조건을 확인하기 위해 여러 앱·웹사이트를 찾아본 경험이 있나요?"/>
    <x:tableColumn id="10" name="4. 필요한 혜택이나 이용 조건을 직접 확인해야 할 때, 그 과정이 얼마나 번거롭다고 느끼나요?"/>
    <x:tableColumn id="11" name="1. 최근 1년 동안 다음과 같은 경험이 있었나요?"/>
    <x:tableColumn id="12" name="1. 현재 이용 중인 서비스의 결제일·갱신일·혜택 만료일 등을 어느 정도 알고 있나요?  "/>
    <x:tableColumn id="13" name="2. 현재 결제일·갱신일·혜택 만료일 등을 어떻게 관리하고 있나요?  "/>
    <x:tableColumn id="14" name="3. 최근 1년 동안 다음 시점을 놓치거나 뒤늦게 알게 된 경험이 있나요?  (복수 선택)"/>
    <x:tableColumn id="15" name="4. 구독·멤버십 관련 일정을 캘린더나 일정관리 앱에 직접 등록해본 적이 있나요?  "/>
    <x:tableColumn id="16" name="1. 없다면 가장 큰 이유는 무엇인가요?  "/>
    <x:tableColumn id="17" name="1. 있다면 어떤 일정을 등록했나요?  "/>
    <x:tableColumn id="18" name="1. 현재 가족·연인·친구 등 다른 사람과 함께 이용하는 유료 구독이 있나요?"/>
    <x:tableColumn id="19" name="2. 공동 구독 비용은 주로 어떻게 관리하나요?  "/>
    <x:tableColumn id="20" name="3. 공동 구독을 관리하면서 불편했던 경험이 있나요?"/>
    <x:tableColumn id="21" name="4. 가장 불편했던 점이 있다면 무엇인가요?  "/>
    <x:tableColumn id="22" name="1. 구독·멤버십을 관리하면서 가장 불편했던 점을 선택해주세요.  "/>
    <x:tableColumn id="23" name="2. 구독료가 부담되거나 필요성이 낮다고 느꼈을 때 최근 실제로 한 행동은 무엇인가요?  "/>
    <x:tableColumn id="24" name="1. 다음 중 한곳에서 확인할 수 있다면 가장 유용할 것 같은 정보를 선택해주세요. (복수 선택)"/>
    <x:tableColumn id="25" name="2. 다음 중 미리 알림을 받고 싶은 시점을 선택해주세요. (복수 선택)"/>
    <x:tableColumn id="26" name="구독 관리 방면에서 있었으면 하는 서비스나 기능을 자유롭게 작성해주세요. (선택사항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329010f61049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4ea7ef68f0443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9a8be5711f8042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305" t="str">
        <x:v>구독·멤버십 이용 및 관리 경험 설문</x:v>
      </x:c>
      <x:c r="B1" s="305"/>
      <x:c r="C1" s="305"/>
      <x:c r="D1" s="305"/>
      <x:c r="E1" s="305"/>
      <x:c r="F1" s="305"/>
      <x:c r="G1" s="305"/>
      <x:c r="H1" s="305"/>
      <x:c r="I1" s="305"/>
      <x:c r="J1" s="305"/>
      <x:c r="K1" s="305"/>
      <x:c r="L1" s="305"/>
    </x:row>
    <x:row r="2" ht="30" customHeight="1">
      <x:c r="A2" s="305"/>
      <x:c r="B2" s="305"/>
      <x:c r="C2" s="305"/>
      <x:c r="D2" s="305"/>
      <x:c r="E2" s="305"/>
      <x:c r="F2" s="305"/>
      <x:c r="G2" s="305"/>
      <x:c r="H2" s="305"/>
      <x:c r="I2" s="305"/>
      <x:c r="J2" s="305"/>
      <x:c r="K2" s="305"/>
      <x:c r="L2" s="305"/>
    </x:row>
    <x:row r="3" ht="24" customHeight="1">
      <x:c r="A3" s="306" t="str">
        <x:v>응답 원본을 보존하고 핵심 결과를 한눈에 볼 수 있도록 재구성한 분석본</x:v>
      </x:c>
      <x:c r="B3" s="306"/>
      <x:c r="C3" s="306"/>
      <x:c r="D3" s="306"/>
      <x:c r="E3" s="306"/>
      <x:c r="F3" s="306"/>
      <x:c r="G3" s="306"/>
      <x:c r="H3" s="306"/>
      <x:c r="I3" s="306"/>
      <x:c r="J3" s="306"/>
      <x:c r="K3" s="306"/>
      <x:c r="L3" s="306"/>
    </x:row>
    <x:row r="4">
      <x:c r="A4" s="307"/>
      <x:c r="B4" s="307"/>
      <x:c r="C4" s="307"/>
      <x:c r="D4" s="307"/>
      <x:c r="E4" s="307"/>
      <x:c r="F4" s="307"/>
      <x:c r="G4" s="307"/>
      <x:c r="H4" s="307"/>
      <x:c r="I4" s="307"/>
      <x:c r="J4" s="307"/>
      <x:c r="K4" s="307"/>
      <x:c r="L4" s="307"/>
    </x:row>
    <x:row r="5">
      <x:c r="A5" s="308" t="str">
        <x:v>유효 응답</x:v>
      </x:c>
      <x:c r="B5" s="309"/>
      <x:c r="C5" s="310"/>
      <x:c r="D5" s="308" t="str">
        <x:v>확인 과정이 번거로움 (4~5점)</x:v>
      </x:c>
      <x:c r="E5" s="309"/>
      <x:c r="F5" s="310"/>
      <x:c r="G5" s="308" t="str">
        <x:v>결제·갱신일 일부만 인지 또는 모름</x:v>
      </x:c>
      <x:c r="H5" s="309"/>
      <x:c r="I5" s="310"/>
      <x:c r="J5" s="308" t="str">
        <x:v>최근 1년 내 주요 시점 놓침</x:v>
      </x:c>
      <x:c r="K5" s="309"/>
      <x:c r="L5" s="310"/>
    </x:row>
    <x:row r="6">
      <x:c r="A6" s="311" t="n">
        <x:f>COUNTA('04_원본응답'!$A$2:$A$101)</x:f>
        <x:v>100</x:v>
      </x:c>
      <x:c r="B6" s="312"/>
      <x:c r="C6" s="313"/>
      <x:c r="D6" s="314" t="n">
        <x:f>(COUNTIF('04_원본응답'!$J$2:$J$101,4)+COUNTIF('04_원본응답'!$J$2:$J$101,5))/COUNTA('04_원본응답'!$J$2:$J$101)</x:f>
        <x:v>0.83</x:v>
      </x:c>
      <x:c r="E6" s="315"/>
      <x:c r="F6" s="316"/>
      <x:c r="G6" s="317" t="n">
        <x:f>(COUNTIF('04_원본응답'!$L$2:$L$101,"일부만 알고 있다")+COUNTIF('04_원본응답'!$L$2:$L$101,"모른다"))/COUNTA('04_원본응답'!$L$2:$L$101)</x:f>
        <x:v>0.85</x:v>
      </x:c>
      <x:c r="H6" s="318"/>
      <x:c r="I6" s="319"/>
      <x:c r="J6" s="317" t="n">
        <x:f>(COUNTA('04_원본응답'!$N$2:$N$101)-COUNTIF('04_원본응답'!$N$2:$N$101,"경험 없음"))/COUNTA('04_원본응답'!$N$2:$N$101)</x:f>
        <x:v>0.8</x:v>
      </x:c>
      <x:c r="K6" s="318"/>
      <x:c r="L6" s="319"/>
    </x:row>
    <x:row r="7">
      <x:c r="A7" s="320"/>
      <x:c r="B7" s="321"/>
      <x:c r="C7" s="322"/>
      <x:c r="D7" s="323"/>
      <x:c r="E7" s="324"/>
      <x:c r="F7" s="325"/>
      <x:c r="G7" s="326"/>
      <x:c r="H7" s="327"/>
      <x:c r="I7" s="328"/>
      <x:c r="J7" s="326"/>
      <x:c r="K7" s="327"/>
      <x:c r="L7" s="328"/>
    </x:row>
    <x:row r="8">
      <x:c r="A8" s="329"/>
      <x:c r="B8" s="330"/>
      <x:c r="C8" s="331"/>
      <x:c r="D8" s="332"/>
      <x:c r="E8" s="333"/>
      <x:c r="F8" s="334"/>
      <x:c r="G8" s="335"/>
      <x:c r="H8" s="336"/>
      <x:c r="I8" s="337"/>
      <x:c r="J8" s="335"/>
      <x:c r="K8" s="336"/>
      <x:c r="L8" s="337"/>
    </x:row>
    <x:row r="9">
      <x:c r="A9" s="307"/>
      <x:c r="B9" s="307"/>
      <x:c r="C9" s="307"/>
      <x:c r="D9" s="307"/>
      <x:c r="E9" s="307"/>
      <x:c r="F9" s="307"/>
      <x:c r="G9" s="307"/>
      <x:c r="H9" s="307"/>
      <x:c r="I9" s="307"/>
      <x:c r="J9" s="307"/>
      <x:c r="K9" s="307"/>
      <x:c r="L9" s="307"/>
    </x:row>
    <x:row r="10">
      <x:c r="A10" s="308" t="str">
        <x:v>여러 앱·웹사이트 탐색 경험</x:v>
      </x:c>
      <x:c r="B10" s="309"/>
      <x:c r="C10" s="310"/>
      <x:c r="D10" s="308" t="str">
        <x:v>캘린더·일정관리 앱 미등록</x:v>
      </x:c>
      <x:c r="E10" s="309"/>
      <x:c r="F10" s="310"/>
      <x:c r="G10" s="308" t="str">
        <x:v>놓친 혜택을 뒤늦게 발견</x:v>
      </x:c>
      <x:c r="H10" s="309"/>
      <x:c r="I10" s="310"/>
      <x:c r="J10" s="308" t="str">
        <x:v>부담 시 최근 행동: 완전 해지</x:v>
      </x:c>
      <x:c r="K10" s="309"/>
      <x:c r="L10" s="310"/>
    </x:row>
    <x:row r="11">
      <x:c r="A11" s="314" t="n">
        <x:f>(COUNTIF('04_원본응답'!$I$2:$I$101,"가끔 있다")+COUNTIF('04_원본응답'!$I$2:$I$101,"자주있다"))/COUNTA('04_원본응답'!$I$2:$I$101)</x:f>
        <x:v>0.68</x:v>
      </x:c>
      <x:c r="B11" s="315"/>
      <x:c r="C11" s="316"/>
      <x:c r="D11" s="314" t="n">
        <x:f>COUNTIF('04_원본응답'!$O$2:$O$101,"없다")/COUNTA('04_원본응답'!$O$2:$O$101)</x:f>
        <x:v>0.59</x:v>
      </x:c>
      <x:c r="E11" s="315"/>
      <x:c r="F11" s="316"/>
      <x:c r="G11" s="314" t="n">
        <x:f>(COUNTIF('04_원본응답'!$H$2:$H$101,"가끔 있다")+COUNTIF('04_원본응답'!$H$2:$H$101,"자주 있다")+COUNTIF('04_원본응답'!$H$2:$H$101,"1~2번 있다"))/COUNTA('04_원본응답'!$H$2:$H$101)</x:f>
        <x:v>0.82</x:v>
      </x:c>
      <x:c r="H11" s="315"/>
      <x:c r="I11" s="316"/>
      <x:c r="J11" s="338" t="n">
        <x:f>COUNTIF('04_원본응답'!$W$2:$W$101,"완전 해지")/COUNTA('04_원본응답'!$W$2:$W$101)</x:f>
        <x:v>0.71</x:v>
      </x:c>
      <x:c r="K11" s="312"/>
      <x:c r="L11" s="313"/>
    </x:row>
    <x:row r="12">
      <x:c r="A12" s="323"/>
      <x:c r="B12" s="324"/>
      <x:c r="C12" s="325"/>
      <x:c r="D12" s="323"/>
      <x:c r="E12" s="324"/>
      <x:c r="F12" s="325"/>
      <x:c r="G12" s="323"/>
      <x:c r="H12" s="324"/>
      <x:c r="I12" s="325"/>
      <x:c r="J12" s="320"/>
      <x:c r="K12" s="321"/>
      <x:c r="L12" s="322"/>
    </x:row>
    <x:row r="13">
      <x:c r="A13" s="332"/>
      <x:c r="B13" s="333"/>
      <x:c r="C13" s="334"/>
      <x:c r="D13" s="332"/>
      <x:c r="E13" s="333"/>
      <x:c r="F13" s="334"/>
      <x:c r="G13" s="332"/>
      <x:c r="H13" s="333"/>
      <x:c r="I13" s="334"/>
      <x:c r="J13" s="329"/>
      <x:c r="K13" s="330"/>
      <x:c r="L13" s="331"/>
    </x:row>
    <x:row r="14">
      <x:c r="A14" s="307"/>
      <x:c r="B14" s="307"/>
      <x:c r="C14" s="307"/>
      <x:c r="D14" s="307"/>
      <x:c r="E14" s="307"/>
      <x:c r="F14" s="307"/>
      <x:c r="G14" s="307"/>
      <x:c r="H14" s="307"/>
      <x:c r="I14" s="307"/>
      <x:c r="J14" s="307"/>
      <x:c r="K14" s="307"/>
      <x:c r="L14" s="307"/>
    </x:row>
    <x:row r="15">
      <x:c r="A15" s="339" t="str">
        <x:v>응답자 구성과 핵심 문제 지표</x:v>
      </x:c>
      <x:c r="B15" s="339"/>
      <x:c r="C15" s="339"/>
      <x:c r="D15" s="339"/>
      <x:c r="E15" s="339"/>
      <x:c r="F15" s="339"/>
      <x:c r="G15" s="339"/>
      <x:c r="H15" s="339"/>
      <x:c r="I15" s="339"/>
      <x:c r="J15" s="339"/>
      <x:c r="K15" s="339"/>
      <x:c r="L15" s="339"/>
    </x:row>
    <x:row r="16">
      <x:c r="A16" s="307"/>
      <x:c r="B16" s="307"/>
      <x:c r="C16" s="307"/>
      <x:c r="D16" s="307"/>
      <x:c r="E16" s="307"/>
      <x:c r="F16" s="307"/>
      <x:c r="G16" s="307"/>
      <x:c r="H16" s="307"/>
      <x:c r="I16" s="307"/>
      <x:c r="J16" s="307"/>
      <x:c r="K16" s="307"/>
      <x:c r="L16" s="307"/>
    </x:row>
    <x:row r="17">
      <x:c r="A17" s="340" t="str">
        <x:v>이용 상품 수</x:v>
      </x:c>
      <x:c r="B17" s="341" t="str">
        <x:v>응답자 수</x:v>
      </x:c>
      <x:c r="C17" s="307"/>
      <x:c r="D17" s="307"/>
      <x:c r="E17" s="307"/>
      <x:c r="F17" s="307"/>
      <x:c r="G17" s="307"/>
      <x:c r="H17" s="307"/>
      <x:c r="I17" s="307"/>
      <x:c r="J17" s="307"/>
      <x:c r="K17" s="307"/>
      <x:c r="L17" s="307"/>
    </x:row>
    <x:row r="18">
      <x:c r="A18" s="342" t="str">
        <x:v>1~3개</x:v>
      </x:c>
      <x:c r="B18" s="343" t="n">
        <x:f>COUNTIF('04_원본응답'!$D$2:$D$101,"1~3개")</x:f>
        <x:v>45</x:v>
      </x:c>
      <x:c r="C18" s="307"/>
      <x:c r="D18" s="307"/>
      <x:c r="E18" s="307"/>
      <x:c r="F18" s="307"/>
      <x:c r="G18" s="307"/>
      <x:c r="H18" s="307"/>
      <x:c r="I18" s="307"/>
      <x:c r="J18" s="307"/>
      <x:c r="K18" s="307"/>
      <x:c r="L18" s="307"/>
    </x:row>
    <x:row r="19">
      <x:c r="A19" s="342" t="str">
        <x:v>4~6개</x:v>
      </x:c>
      <x:c r="B19" s="343" t="n">
        <x:f>COUNTIF('04_원본응답'!$D$2:$D$101,"4~6개")</x:f>
        <x:v>38</x:v>
      </x:c>
      <x:c r="C19" s="307"/>
      <x:c r="D19" s="307"/>
      <x:c r="E19" s="307"/>
      <x:c r="F19" s="307"/>
      <x:c r="G19" s="307"/>
      <x:c r="H19" s="307"/>
      <x:c r="I19" s="307"/>
      <x:c r="J19" s="307"/>
      <x:c r="K19" s="307"/>
      <x:c r="L19" s="307"/>
    </x:row>
    <x:row r="20">
      <x:c r="A20" s="342" t="str">
        <x:v>7개 이상</x:v>
      </x:c>
      <x:c r="B20" s="343" t="n">
        <x:f>COUNTIF('04_원본응답'!$D$2:$D$101,"7개 이상")</x:f>
        <x:v>9</x:v>
      </x:c>
      <x:c r="C20" s="307"/>
      <x:c r="D20" s="307"/>
      <x:c r="E20" s="307"/>
      <x:c r="F20" s="307"/>
      <x:c r="G20" s="307"/>
      <x:c r="H20" s="307"/>
      <x:c r="I20" s="307"/>
      <x:c r="J20" s="307"/>
      <x:c r="K20" s="307"/>
      <x:c r="L20" s="307"/>
    </x:row>
    <x:row r="21">
      <x:c r="A21" s="342" t="str">
        <x:v>잘 모르겠다</x:v>
      </x:c>
      <x:c r="B21" s="343" t="n">
        <x:f>COUNTIF('04_원본응답'!$D$2:$D$101,"잘 모르겠다")</x:f>
        <x:v>8</x:v>
      </x:c>
      <x:c r="C21" s="307"/>
      <x:c r="D21" s="307"/>
      <x:c r="E21" s="307"/>
      <x:c r="F21" s="307"/>
      <x:c r="G21" s="307"/>
      <x:c r="H21" s="307"/>
      <x:c r="I21" s="307"/>
      <x:c r="J21" s="307"/>
      <x:c r="K21" s="307"/>
      <x:c r="L21" s="307"/>
    </x:row>
    <x:row r="22">
      <x:c r="A22" s="307"/>
      <x:c r="B22" s="307"/>
      <x:c r="C22" s="307"/>
      <x:c r="D22" s="307"/>
      <x:c r="E22" s="307"/>
      <x:c r="F22" s="307"/>
      <x:c r="G22" s="307"/>
      <x:c r="H22" s="307"/>
      <x:c r="I22" s="307"/>
      <x:c r="J22" s="307"/>
      <x:c r="K22" s="307"/>
      <x:c r="L22" s="307"/>
    </x:row>
    <x:row r="23">
      <x:c r="A23" s="307"/>
      <x:c r="B23" s="307"/>
      <x:c r="C23" s="307"/>
      <x:c r="D23" s="307"/>
      <x:c r="E23" s="307"/>
      <x:c r="F23" s="307"/>
      <x:c r="G23" s="307"/>
      <x:c r="H23" s="307"/>
      <x:c r="I23" s="307"/>
      <x:c r="J23" s="307"/>
      <x:c r="K23" s="307"/>
      <x:c r="L23" s="307"/>
    </x:row>
    <x:row r="24">
      <x:c r="A24" s="307"/>
      <x:c r="B24" s="307"/>
      <x:c r="C24" s="307"/>
      <x:c r="D24" s="307"/>
      <x:c r="E24" s="307"/>
      <x:c r="F24" s="307"/>
      <x:c r="G24" s="307"/>
      <x:c r="H24" s="307"/>
      <x:c r="I24" s="307"/>
      <x:c r="J24" s="307"/>
      <x:c r="K24" s="307"/>
      <x:c r="L24" s="307"/>
    </x:row>
    <x:row r="25">
      <x:c r="A25" s="307"/>
      <x:c r="B25" s="307"/>
      <x:c r="C25" s="307"/>
      <x:c r="D25" s="307"/>
      <x:c r="E25" s="307"/>
      <x:c r="F25" s="307"/>
      <x:c r="G25" s="307"/>
      <x:c r="H25" s="307"/>
      <x:c r="I25" s="307"/>
      <x:c r="J25" s="307"/>
      <x:c r="K25" s="307"/>
      <x:c r="L25" s="307"/>
    </x:row>
    <x:row r="26">
      <x:c r="A26" s="307"/>
      <x:c r="B26" s="307"/>
      <x:c r="C26" s="307"/>
      <x:c r="D26" s="307"/>
      <x:c r="E26" s="307"/>
      <x:c r="F26" s="307"/>
      <x:c r="G26" s="307"/>
      <x:c r="H26" s="307"/>
      <x:c r="I26" s="307"/>
      <x:c r="J26" s="307"/>
      <x:c r="K26" s="307"/>
      <x:c r="L26" s="307"/>
    </x:row>
    <x:row r="27">
      <x:c r="A27" s="307"/>
      <x:c r="B27" s="307"/>
      <x:c r="C27" s="307"/>
      <x:c r="D27" s="307"/>
      <x:c r="E27" s="307"/>
      <x:c r="F27" s="307"/>
      <x:c r="G27" s="307"/>
      <x:c r="H27" s="307"/>
      <x:c r="I27" s="307"/>
      <x:c r="J27" s="307"/>
      <x:c r="K27" s="307"/>
      <x:c r="L27" s="307"/>
    </x:row>
    <x:row r="28">
      <x:c r="A28" s="307"/>
      <x:c r="B28" s="307"/>
      <x:c r="C28" s="307"/>
      <x:c r="D28" s="307"/>
      <x:c r="E28" s="307"/>
      <x:c r="F28" s="307"/>
      <x:c r="G28" s="307"/>
      <x:c r="H28" s="307"/>
      <x:c r="I28" s="307"/>
      <x:c r="J28" s="307"/>
      <x:c r="K28" s="307"/>
      <x:c r="L28" s="307"/>
    </x:row>
    <x:row r="29">
      <x:c r="A29" s="307"/>
      <x:c r="B29" s="307"/>
      <x:c r="C29" s="307"/>
      <x:c r="D29" s="307"/>
      <x:c r="E29" s="307"/>
      <x:c r="F29" s="307"/>
      <x:c r="G29" s="307"/>
      <x:c r="H29" s="307"/>
      <x:c r="I29" s="307"/>
      <x:c r="J29" s="307"/>
      <x:c r="K29" s="307"/>
      <x:c r="L29" s="307"/>
    </x:row>
    <x:row r="30">
      <x:c r="A30" s="307"/>
      <x:c r="B30" s="307"/>
      <x:c r="C30" s="307"/>
      <x:c r="D30" s="307"/>
      <x:c r="E30" s="307"/>
      <x:c r="F30" s="307"/>
      <x:c r="G30" s="307"/>
      <x:c r="H30" s="307"/>
      <x:c r="I30" s="307"/>
      <x:c r="J30" s="307"/>
      <x:c r="K30" s="307"/>
      <x:c r="L30" s="307"/>
    </x:row>
    <x:row r="31">
      <x:c r="A31" s="307"/>
      <x:c r="B31" s="307"/>
      <x:c r="C31" s="307"/>
      <x:c r="D31" s="307"/>
      <x:c r="E31" s="307"/>
      <x:c r="F31" s="307"/>
      <x:c r="G31" s="307"/>
      <x:c r="H31" s="307"/>
      <x:c r="I31" s="307"/>
      <x:c r="J31" s="307"/>
      <x:c r="K31" s="307"/>
      <x:c r="L31" s="307"/>
    </x:row>
    <x:row r="32">
      <x:c r="A32" s="340" t="str">
        <x:v>핵심 지표</x:v>
      </x:c>
      <x:c r="B32" s="341" t="str">
        <x:v>응답률</x:v>
      </x:c>
      <x:c r="C32" s="307"/>
      <x:c r="D32" s="307"/>
      <x:c r="E32" s="307"/>
      <x:c r="F32" s="307"/>
      <x:c r="G32" s="307"/>
      <x:c r="H32" s="307"/>
      <x:c r="I32" s="307"/>
      <x:c r="J32" s="307"/>
      <x:c r="K32" s="307"/>
      <x:c r="L32" s="307"/>
    </x:row>
    <x:row r="33">
      <x:c r="A33" s="342" t="str">
        <x:v>정보 확인 번거로움</x:v>
      </x:c>
      <x:c r="B33" s="344" t="n">
        <x:f>D6</x:f>
        <x:v>0.83</x:v>
      </x:c>
      <x:c r="C33" s="307"/>
      <x:c r="D33" s="307"/>
      <x:c r="E33" s="307"/>
      <x:c r="F33" s="307"/>
      <x:c r="G33" s="307"/>
      <x:c r="H33" s="307"/>
      <x:c r="I33" s="307"/>
      <x:c r="J33" s="307"/>
      <x:c r="K33" s="307"/>
      <x:c r="L33" s="307"/>
    </x:row>
    <x:row r="34">
      <x:c r="A34" s="342" t="str">
        <x:v>결제·갱신 인지 부족</x:v>
      </x:c>
      <x:c r="B34" s="344" t="n">
        <x:f>G6</x:f>
        <x:v>0.85</x:v>
      </x:c>
      <x:c r="C34" s="307"/>
      <x:c r="D34" s="307"/>
      <x:c r="E34" s="307"/>
      <x:c r="F34" s="307"/>
      <x:c r="G34" s="307"/>
      <x:c r="H34" s="307"/>
      <x:c r="I34" s="307"/>
      <x:c r="J34" s="307"/>
      <x:c r="K34" s="307"/>
      <x:c r="L34" s="307"/>
    </x:row>
    <x:row r="35">
      <x:c r="A35" s="342" t="str">
        <x:v>주요 시점 놓침</x:v>
      </x:c>
      <x:c r="B35" s="344" t="n">
        <x:f>J6</x:f>
        <x:v>0.8</x:v>
      </x:c>
      <x:c r="C35" s="307"/>
      <x:c r="D35" s="307"/>
      <x:c r="E35" s="307"/>
      <x:c r="F35" s="307"/>
      <x:c r="G35" s="307"/>
      <x:c r="H35" s="307"/>
      <x:c r="I35" s="307"/>
      <x:c r="J35" s="307"/>
      <x:c r="K35" s="307"/>
      <x:c r="L35" s="307"/>
    </x:row>
    <x:row r="36">
      <x:c r="A36" s="342" t="str">
        <x:v>다중 사이트 탐색</x:v>
      </x:c>
      <x:c r="B36" s="344" t="n">
        <x:f>A11</x:f>
        <x:v>0.68</x:v>
      </x:c>
      <x:c r="C36" s="307"/>
      <x:c r="D36" s="307"/>
      <x:c r="E36" s="307"/>
      <x:c r="F36" s="307"/>
      <x:c r="G36" s="307"/>
      <x:c r="H36" s="307"/>
      <x:c r="I36" s="307"/>
      <x:c r="J36" s="307"/>
      <x:c r="K36" s="307"/>
      <x:c r="L36" s="307"/>
    </x:row>
    <x:row r="37">
      <x:c r="A37" s="342" t="str">
        <x:v>캘린더 미등록</x:v>
      </x:c>
      <x:c r="B37" s="344" t="n">
        <x:f>D11</x:f>
        <x:v>0.59</x:v>
      </x:c>
      <x:c r="C37" s="307"/>
      <x:c r="D37" s="307"/>
      <x:c r="E37" s="307"/>
      <x:c r="F37" s="307"/>
      <x:c r="G37" s="307"/>
      <x:c r="H37" s="307"/>
      <x:c r="I37" s="307"/>
      <x:c r="J37" s="307"/>
      <x:c r="K37" s="307"/>
      <x:c r="L37" s="307"/>
    </x:row>
    <x:row r="38">
      <x:c r="A38" s="342" t="str">
        <x:v>혜택 뒤늦게 발견</x:v>
      </x:c>
      <x:c r="B38" s="344" t="n">
        <x:f>G11</x:f>
        <x:v>0.82</x:v>
      </x:c>
      <x:c r="C38" s="307"/>
      <x:c r="D38" s="307"/>
      <x:c r="E38" s="307"/>
      <x:c r="F38" s="307"/>
      <x:c r="G38" s="307"/>
      <x:c r="H38" s="307"/>
      <x:c r="I38" s="307"/>
      <x:c r="J38" s="307"/>
      <x:c r="K38" s="307"/>
      <x:c r="L38" s="307"/>
    </x:row>
    <x:row r="39">
      <x:c r="A39" s="307"/>
      <x:c r="B39" s="307"/>
      <x:c r="C39" s="307"/>
      <x:c r="D39" s="307"/>
      <x:c r="E39" s="307"/>
      <x:c r="F39" s="307"/>
      <x:c r="G39" s="307"/>
      <x:c r="H39" s="307"/>
      <x:c r="I39" s="307"/>
      <x:c r="J39" s="307"/>
      <x:c r="K39" s="307"/>
      <x:c r="L39" s="307"/>
    </x:row>
    <x:row r="40">
      <x:c r="A40" s="307"/>
      <x:c r="B40" s="307"/>
      <x:c r="C40" s="307"/>
      <x:c r="D40" s="307"/>
      <x:c r="E40" s="307"/>
      <x:c r="F40" s="307"/>
      <x:c r="G40" s="307"/>
      <x:c r="H40" s="307"/>
      <x:c r="I40" s="307"/>
      <x:c r="J40" s="307"/>
      <x:c r="K40" s="307"/>
      <x:c r="L40" s="307"/>
    </x:row>
    <x:row r="41">
      <x:c r="A41" s="307"/>
      <x:c r="B41" s="307"/>
      <x:c r="C41" s="307"/>
      <x:c r="D41" s="307"/>
      <x:c r="E41" s="307"/>
      <x:c r="F41" s="307"/>
      <x:c r="G41" s="307"/>
      <x:c r="H41" s="307"/>
      <x:c r="I41" s="307"/>
      <x:c r="J41" s="307"/>
      <x:c r="K41" s="307"/>
      <x:c r="L41" s="307"/>
    </x:row>
    <x:row r="42">
      <x:c r="A42" s="307"/>
      <x:c r="B42" s="307"/>
      <x:c r="C42" s="307"/>
      <x:c r="D42" s="307"/>
      <x:c r="E42" s="307"/>
      <x:c r="F42" s="307"/>
      <x:c r="G42" s="307"/>
      <x:c r="H42" s="307"/>
      <x:c r="I42" s="307"/>
      <x:c r="J42" s="307"/>
      <x:c r="K42" s="307"/>
      <x:c r="L42" s="307"/>
    </x:row>
    <x:row r="43">
      <x:c r="A43" s="307"/>
      <x:c r="B43" s="307"/>
      <x:c r="C43" s="307"/>
      <x:c r="D43" s="307"/>
      <x:c r="E43" s="307"/>
      <x:c r="F43" s="307"/>
      <x:c r="G43" s="307"/>
      <x:c r="H43" s="307"/>
      <x:c r="I43" s="307"/>
      <x:c r="J43" s="307"/>
      <x:c r="K43" s="307"/>
      <x:c r="L43" s="307"/>
    </x:row>
    <x:row r="44">
      <x:c r="A44" s="307"/>
      <x:c r="B44" s="307"/>
      <x:c r="C44" s="307"/>
      <x:c r="D44" s="307"/>
      <x:c r="E44" s="307"/>
      <x:c r="F44" s="307"/>
      <x:c r="G44" s="307"/>
      <x:c r="H44" s="307"/>
      <x:c r="I44" s="307"/>
      <x:c r="J44" s="307"/>
      <x:c r="K44" s="307"/>
      <x:c r="L44" s="307"/>
    </x:row>
    <x:row r="45">
      <x:c r="A45" s="307"/>
      <x:c r="B45" s="307"/>
      <x:c r="C45" s="307"/>
      <x:c r="D45" s="307"/>
      <x:c r="E45" s="307"/>
      <x:c r="F45" s="307"/>
      <x:c r="G45" s="307"/>
      <x:c r="H45" s="307"/>
      <x:c r="I45" s="307"/>
      <x:c r="J45" s="307"/>
      <x:c r="K45" s="307"/>
      <x:c r="L45" s="307"/>
    </x:row>
    <x:row r="46">
      <x:c r="A46" s="307"/>
      <x:c r="B46" s="307"/>
      <x:c r="C46" s="307"/>
      <x:c r="D46" s="307"/>
      <x:c r="E46" s="307"/>
      <x:c r="F46" s="307"/>
      <x:c r="G46" s="307"/>
      <x:c r="H46" s="307"/>
      <x:c r="I46" s="307"/>
      <x:c r="J46" s="307"/>
      <x:c r="K46" s="307"/>
      <x:c r="L46" s="307"/>
    </x:row>
    <x:row r="47">
      <x:c r="A47" s="345" t="str">
        <x:f>"조사기간 "&amp;TEXT(MIN('04_원본응답'!$A$2:$A$101),"yyyy-mm-dd")&amp;" ~ "&amp;TEXT(MAX('04_원본응답'!$A$2:$A$101),"yyyy-mm-dd")&amp;"  |  팀 자체 온라인 설문  |  n="&amp;COUNTA('04_원본응답'!$A$2:$A$101)</x:f>
        <x:v>조사기간 2026-08-21 ~ 2026-08-24  |  팀 자체 온라인 설문  |  n=100</x:v>
      </x:c>
      <x:c r="B47" s="346"/>
      <x:c r="C47" s="346"/>
      <x:c r="D47" s="346"/>
      <x:c r="E47" s="346"/>
      <x:c r="F47" s="346"/>
      <x:c r="G47" s="346"/>
      <x:c r="H47" s="346"/>
      <x:c r="I47" s="346"/>
      <x:c r="J47" s="346"/>
      <x:c r="K47" s="346"/>
      <x:c r="L47" s="347"/>
    </x:row>
    <x:row r="48">
      <x:c r="A48" s="348"/>
      <x:c r="B48" s="349"/>
      <x:c r="C48" s="349"/>
      <x:c r="D48" s="349"/>
      <x:c r="E48" s="349"/>
      <x:c r="F48" s="349"/>
      <x:c r="G48" s="349"/>
      <x:c r="H48" s="349"/>
      <x:c r="I48" s="349"/>
      <x:c r="J48" s="349"/>
      <x:c r="K48" s="349"/>
      <x:c r="L48" s="350"/>
    </x:row>
  </x:sheetData>
  <x:mergeCells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10:C10"/>
    <x:mergeCell ref="A11:C13"/>
    <x:mergeCell ref="D10:F10"/>
    <x:mergeCell ref="D11:F13"/>
    <x:mergeCell ref="G10:I10"/>
    <x:mergeCell ref="G11:I13"/>
    <x:mergeCell ref="J10:L10"/>
    <x:mergeCell ref="J11:L13"/>
    <x:mergeCell ref="A15:L15"/>
    <x:mergeCell ref="A47:L48"/>
  </x:mergeCells>
  <x:pageMargins left="0.7" right="0.7" top="0.75" bottom="0.75" header="0.3" footer="0.3"/>
  <x:drawing xmlns:r="http://schemas.openxmlformats.org/officeDocument/2006/relationships" r:id="Rdd329010f610498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12" hidden="0" customWidth="1"/>
    <x:col min="4" max="4" width="38" hidden="0" customWidth="1"/>
    <x:col min="5" max="5" width="16" hidden="0" customWidth="1"/>
    <x:col min="6" max="6" width="17" hidden="0" customWidth="1"/>
    <x:col min="7" max="7" width="48" hidden="0" customWidth="1"/>
    <x:col min="8" max="8" width="34" hidden="0" customWidth="1"/>
  </x:cols>
  <x:sheetData>
    <x:row r="1" ht="30" customHeight="1">
      <x:c r="A1" s="305" t="str">
        <x:v>문제정의 근거 요약</x:v>
      </x:c>
      <x:c r="B1" s="305"/>
      <x:c r="C1" s="305"/>
      <x:c r="D1" s="305"/>
      <x:c r="E1" s="305"/>
      <x:c r="F1" s="305"/>
      <x:c r="G1" s="305"/>
      <x:c r="H1" s="305"/>
    </x:row>
    <x:row r="2" ht="30" customHeight="1">
      <x:c r="A2" s="305"/>
      <x:c r="B2" s="305"/>
      <x:c r="C2" s="305"/>
      <x:c r="D2" s="305"/>
      <x:c r="E2" s="305"/>
      <x:c r="F2" s="305"/>
      <x:c r="G2" s="305"/>
      <x:c r="H2" s="305"/>
    </x:row>
    <x:row r="3" ht="24" customHeight="1">
      <x:c r="A3" s="306" t="str">
        <x:v>설문 결과만으로 문제의 구조와 우선순위를 빠르게 확인하는 시트</x:v>
      </x:c>
      <x:c r="B3" s="306"/>
      <x:c r="C3" s="306"/>
      <x:c r="D3" s="306"/>
      <x:c r="E3" s="306"/>
      <x:c r="F3" s="306"/>
      <x:c r="G3" s="306"/>
      <x:c r="H3" s="306"/>
    </x:row>
    <x:row r="4">
      <x:c r="A4" s="307"/>
      <x:c r="B4" s="307"/>
      <x:c r="C4" s="307"/>
      <x:c r="D4" s="307"/>
      <x:c r="E4" s="307"/>
      <x:c r="F4" s="307"/>
      <x:c r="G4" s="307"/>
      <x:c r="H4" s="307"/>
    </x:row>
    <x:row r="5">
      <x:c r="A5" s="339" t="str">
        <x:v>최종 문제정의</x:v>
      </x:c>
      <x:c r="B5" s="339"/>
      <x:c r="C5" s="339"/>
      <x:c r="D5" s="339"/>
      <x:c r="E5" s="339"/>
      <x:c r="F5" s="339"/>
      <x:c r="G5" s="339"/>
      <x:c r="H5" s="339"/>
    </x:row>
    <x:row r="6">
      <x:c r="A6" s="351" t="str">
        <x:v>다중 구독 사용자는 서비스에 흩어진 구독·혜택·결제 및 갱신 정보를 한곳에서 통합적으로 파악하고 관리하기 어려워, 불필요한 지출을 경험하고 있다.</x:v>
      </x:c>
      <x:c r="B6" s="352"/>
      <x:c r="C6" s="352"/>
      <x:c r="D6" s="352"/>
      <x:c r="E6" s="352"/>
      <x:c r="F6" s="352"/>
      <x:c r="G6" s="352"/>
      <x:c r="H6" s="353"/>
    </x:row>
    <x:row r="7">
      <x:c r="A7" s="354"/>
      <x:c r="B7" s="355"/>
      <x:c r="C7" s="355"/>
      <x:c r="D7" s="355"/>
      <x:c r="E7" s="355"/>
      <x:c r="F7" s="355"/>
      <x:c r="G7" s="355"/>
      <x:c r="H7" s="356"/>
    </x:row>
    <x:row r="8">
      <x:c r="A8" s="357"/>
      <x:c r="B8" s="358"/>
      <x:c r="C8" s="358"/>
      <x:c r="D8" s="358"/>
      <x:c r="E8" s="358"/>
      <x:c r="F8" s="358"/>
      <x:c r="G8" s="358"/>
      <x:c r="H8" s="359"/>
    </x:row>
    <x:row r="9">
      <x:c r="A9" s="307"/>
      <x:c r="B9" s="307"/>
      <x:c r="C9" s="307"/>
      <x:c r="D9" s="307"/>
      <x:c r="E9" s="307"/>
      <x:c r="F9" s="307"/>
      <x:c r="G9" s="307"/>
      <x:c r="H9" s="307"/>
    </x:row>
    <x:row r="10" ht="38" customHeight="1">
      <x:c r="A10" s="340" t="str">
        <x:v>근거 축</x:v>
      </x:c>
      <x:c r="B10" s="360" t="str">
        <x:v>설문 지표</x:v>
      </x:c>
      <x:c r="C10" s="360" t="str">
        <x:v>결과</x:v>
      </x:c>
      <x:c r="D10" s="360" t="str">
        <x:v>해석</x:v>
      </x:c>
      <x:c r="E10" s="360" t="str">
        <x:v>분모</x:v>
      </x:c>
      <x:c r="F10" s="360" t="str">
        <x:v>출처</x:v>
      </x:c>
      <x:c r="G10" s="360" t="str">
        <x:v>인용 권장 문구</x:v>
      </x:c>
      <x:c r="H10" s="341" t="str">
        <x:v>주의사항</x:v>
      </x:c>
    </x:row>
    <x:row r="11" ht="62" customHeight="1">
      <x:c r="A11" s="361" t="str">
        <x:v>분산</x:v>
      </x:c>
      <x:c r="B11" s="361" t="str">
        <x:v>여러 앱·웹사이트 탐색 경험</x:v>
      </x:c>
      <x:c r="C11" s="362" t="n">
        <x:f>(COUNTIF('04_원본응답'!$I$2:$I$101,"가끔 있다")+COUNTIF('04_원본응답'!$I$2:$I$101,"자주있다"))/COUNTA('04_원본응답'!$I$2:$I$101)</x:f>
        <x:v>0.68</x:v>
      </x:c>
      <x:c r="D11" s="361" t="str">
        <x:v>혜택·조건 확인을 위해 채널을 오가는 마찰이 존재</x:v>
      </x:c>
      <x:c r="E11" s="361" t="str">
        <x:v>전체 응답자</x:v>
      </x:c>
      <x:c r="F11" s="361" t="str">
        <x:v>팀 자체 설문</x:v>
      </x:c>
      <x:c r="G11" s="361" t="str">
        <x:v>68%가 여러 앱·웹사이트를 찾아본 경험이 있음</x:v>
      </x:c>
      <x:c r="H11" s="361" t="str">
        <x:v>가끔/자주 응답 합산</x:v>
      </x:c>
    </x:row>
    <x:row r="12" ht="62" customHeight="1">
      <x:c r="A12" s="363" t="str">
        <x:v>관리 어려움</x:v>
      </x:c>
      <x:c r="B12" s="363" t="str">
        <x:v>확인 과정 번거로움 4~5점</x:v>
      </x:c>
      <x:c r="C12" s="364" t="n">
        <x:f>(COUNTIF('04_원본응답'!$J$2:$J$101,4)+COUNTIF('04_원본응답'!$J$2:$J$101,5))/COUNTA('04_원본응답'!$J$2:$J$101)</x:f>
        <x:v>0.83</x:v>
      </x:c>
      <x:c r="D12" s="363" t="str">
        <x:v>정보를 직접 찾는 과정의 체감 부담이 높음</x:v>
      </x:c>
      <x:c r="E12" s="363" t="str">
        <x:v>전체 응답자</x:v>
      </x:c>
      <x:c r="F12" s="363" t="str">
        <x:v>팀 자체 설문</x:v>
      </x:c>
      <x:c r="G12" s="363" t="str">
        <x:v>83%가 혜택·조건 확인 과정을 번거롭게 평가</x:v>
      </x:c>
      <x:c r="H12" s="363" t="str">
        <x:v>5점 척도 중 4~5점</x:v>
      </x:c>
    </x:row>
    <x:row r="13" ht="62" customHeight="1">
      <x:c r="A13" s="363" t="str">
        <x:v>인지 부족</x:v>
      </x:c>
      <x:c r="B13" s="363" t="str">
        <x:v>결제·갱신일 일부만 인지 또는 모름</x:v>
      </x:c>
      <x:c r="C13" s="364" t="n">
        <x:f>(COUNTIF('04_원본응답'!$L$2:$L$101,"일부만 알고 있다")+COUNTIF('04_원본응답'!$L$2:$L$101,"모른다"))/COUNTA('04_원본응답'!$L$2:$L$101)</x:f>
        <x:v>0.85</x:v>
      </x:c>
      <x:c r="D13" s="363" t="str">
        <x:v>전체 일정 파악이 되지 않는 사용자가 다수</x:v>
      </x:c>
      <x:c r="E13" s="363" t="str">
        <x:v>전체 응답자</x:v>
      </x:c>
      <x:c r="F13" s="363" t="str">
        <x:v>팀 자체 설문</x:v>
      </x:c>
      <x:c r="G13" s="363" t="str">
        <x:v>85%가 결제·갱신·만료일을 일부만 알거나 모름</x:v>
      </x:c>
      <x:c r="H13" s="363" t="str">
        <x:v>정확히 안다는 응답 제외</x:v>
      </x:c>
    </x:row>
    <x:row r="14" ht="62" customHeight="1">
      <x:c r="A14" s="363" t="str">
        <x:v>행동 누락</x:v>
      </x:c>
      <x:c r="B14" s="363" t="str">
        <x:v>최근 1년 내 주요 시점 놓침</x:v>
      </x:c>
      <x:c r="C14" s="364" t="n">
        <x:f>(COUNTA('04_원본응답'!$N$2:$N$101)-COUNTIF('04_원본응답'!$N$2:$N$101,"경험 없음"))/COUNTA('04_원본응답'!$N$2:$N$101)</x:f>
        <x:v>0.8</x:v>
      </x:c>
      <x:c r="D14" s="363" t="str">
        <x:v>인지 부족이 실제 놓침 경험으로 이어짐</x:v>
      </x:c>
      <x:c r="E14" s="363" t="str">
        <x:v>전체 응답자</x:v>
      </x:c>
      <x:c r="F14" s="363" t="str">
        <x:v>팀 자체 설문</x:v>
      </x:c>
      <x:c r="G14" s="363" t="str">
        <x:v>80%가 최근 1년 내 하나 이상의 주요 시점을 놓침</x:v>
      </x:c>
      <x:c r="H14" s="363" t="str">
        <x:v>복수선택 문항</x:v>
      </x:c>
    </x:row>
    <x:row r="15" ht="62" customHeight="1">
      <x:c r="A15" s="363" t="str">
        <x:v>도구 마찰</x:v>
      </x:c>
      <x:c r="B15" s="363" t="str">
        <x:v>캘린더·일정관리 앱 미등록</x:v>
      </x:c>
      <x:c r="C15" s="364" t="n">
        <x:f>COUNTIF('04_원본응답'!$O$2:$O$101,"없다")/COUNTA('04_원본응답'!$O$2:$O$101)</x:f>
        <x:v>0.59</x:v>
      </x:c>
      <x:c r="D15" s="363" t="str">
        <x:v>기존 도구에 직접 입력하는 방식은 정착률이 낮음</x:v>
      </x:c>
      <x:c r="E15" s="363" t="str">
        <x:v>전체 응답자</x:v>
      </x:c>
      <x:c r="F15" s="363" t="str">
        <x:v>팀 자체 설문</x:v>
      </x:c>
      <x:c r="G15" s="363" t="str">
        <x:v>59%가 구독 일정을 캘린더에 등록하지 않음</x:v>
      </x:c>
      <x:c r="H15" s="363" t="str">
        <x:v>등록 경험 기준</x:v>
      </x:c>
    </x:row>
    <x:row r="16" ht="62" customHeight="1">
      <x:c r="A16" s="363" t="str">
        <x:v>혜택 손실</x:v>
      </x:c>
      <x:c r="B16" s="363" t="str">
        <x:v>놓친 혜택을 뒤늦게 발견</x:v>
      </x:c>
      <x:c r="C16" s="364" t="n">
        <x:f>(COUNTIF('04_원본응답'!$H$2:$H$101,"가끔 있다")+COUNTIF('04_원본응답'!$H$2:$H$101,"자주 있다")+COUNTIF('04_원본응답'!$H$2:$H$101,"1~2번 있다"))/COUNTA('04_원본응답'!$H$2:$H$101)</x:f>
        <x:v>0.82</x:v>
      </x:c>
      <x:c r="D16" s="363" t="str">
        <x:v>보유 혜택을 제때 활용하지 못하는 경험이 넓게 존재</x:v>
      </x:c>
      <x:c r="E16" s="363" t="str">
        <x:v>전체 응답자</x:v>
      </x:c>
      <x:c r="F16" s="363" t="str">
        <x:v>팀 자체 설문</x:v>
      </x:c>
      <x:c r="G16" s="363" t="str">
        <x:v>82%가 놓친 혜택을 뒤늦게 알게 된 경험이 있음</x:v>
      </x:c>
      <x:c r="H16" s="363" t="str">
        <x:v>있음 계열 응답 합산</x:v>
      </x:c>
    </x:row>
    <x:row r="17" ht="62" customHeight="1">
      <x:c r="A17" s="363" t="str">
        <x:v>비용 행동</x:v>
      </x:c>
      <x:c r="B17" s="363" t="str">
        <x:v>부담 시 최근 행동: 완전 해지</x:v>
      </x:c>
      <x:c r="C17" s="364" t="n">
        <x:f>COUNTIF('04_원본응답'!$W$2:$W$101,"완전 해지")/COUNTA('04_원본응답'!$W$2:$W$101)</x:f>
        <x:v>0.71</x:v>
      </x:c>
      <x:c r="D17" s="363" t="str">
        <x:v>사용자는 최적화보다 해지를 우선 선택하는 경향</x:v>
      </x:c>
      <x:c r="E17" s="363" t="str">
        <x:v>전체 응답자</x:v>
      </x:c>
      <x:c r="F17" s="363" t="str">
        <x:v>팀 자체 설문</x:v>
      </x:c>
      <x:c r="G17" s="363" t="str">
        <x:v>71%가 부담을 느꼈을 때 최근 완전 해지를 선택</x:v>
      </x:c>
      <x:c r="H17" s="363" t="str">
        <x:v>행동 결과이지 비용 규모의 직접 측정은 아님</x:v>
      </x:c>
    </x:row>
    <x:row r="18">
      <x:c r="A18" s="307"/>
      <x:c r="B18" s="307"/>
      <x:c r="C18" s="307"/>
      <x:c r="D18" s="307"/>
      <x:c r="E18" s="307"/>
      <x:c r="F18" s="307"/>
      <x:c r="G18" s="307"/>
      <x:c r="H18" s="307"/>
    </x:row>
    <x:row r="19">
      <x:c r="A19" s="307"/>
      <x:c r="B19" s="307"/>
      <x:c r="C19" s="307"/>
      <x:c r="D19" s="307"/>
      <x:c r="E19" s="307"/>
      <x:c r="F19" s="307"/>
      <x:c r="G19" s="307"/>
      <x:c r="H19" s="307"/>
    </x:row>
    <x:row r="20">
      <x:c r="A20" s="339" t="str">
        <x:v>출처 표기</x:v>
      </x:c>
      <x:c r="B20" s="339"/>
      <x:c r="C20" s="339"/>
      <x:c r="D20" s="339"/>
      <x:c r="E20" s="339"/>
      <x:c r="F20" s="339"/>
      <x:c r="G20" s="339"/>
      <x:c r="H20" s="339"/>
    </x:row>
    <x:row r="21">
      <x:c r="A21" s="365" t="str">
        <x:v>권장 출처 표기: 팀 자체 온라인 설문조사, 「구독 및 멤버십 이용 및 관리 경험 설문지」, 2026.08, n=100.</x:v>
      </x:c>
      <x:c r="B21" s="366"/>
      <x:c r="C21" s="366"/>
      <x:c r="D21" s="366"/>
      <x:c r="E21" s="366"/>
      <x:c r="F21" s="366"/>
      <x:c r="G21" s="366"/>
      <x:c r="H21" s="367"/>
    </x:row>
    <x:row r="22">
      <x:c r="A22" s="368"/>
      <x:c r="B22" s="369"/>
      <x:c r="C22" s="369"/>
      <x:c r="D22" s="369"/>
      <x:c r="E22" s="369"/>
      <x:c r="F22" s="369"/>
      <x:c r="G22" s="369"/>
      <x:c r="H22" s="370"/>
    </x:row>
    <x:row r="23">
      <x:c r="A23" s="371" t="str">
        <x:v>원본 링크: https://docs.google.com/spreadsheets/d/1Dt0XjmjVcpa6lx_P01cZ9gTsro30mCmcbFkmxQu-RB4/edit?usp=sharing</x:v>
      </x:c>
      <x:c r="B23" s="372"/>
      <x:c r="C23" s="372"/>
      <x:c r="D23" s="372"/>
      <x:c r="E23" s="372"/>
      <x:c r="F23" s="372"/>
      <x:c r="G23" s="372"/>
      <x:c r="H23" s="373"/>
    </x:row>
    <x:row r="24">
      <x:c r="A24" s="374"/>
      <x:c r="B24" s="375"/>
      <x:c r="C24" s="375"/>
      <x:c r="D24" s="375"/>
      <x:c r="E24" s="375"/>
      <x:c r="F24" s="375"/>
      <x:c r="G24" s="375"/>
      <x:c r="H24" s="376"/>
    </x:row>
  </x:sheetData>
  <x:mergeCells>
    <x:mergeCell ref="A1:H2"/>
    <x:mergeCell ref="A3:H3"/>
    <x:mergeCell ref="A5:H5"/>
    <x:mergeCell ref="A6:H8"/>
    <x:mergeCell ref="A20:H20"/>
    <x:mergeCell ref="A21:H22"/>
    <x:mergeCell ref="A23:H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8" hidden="0" customWidth="1"/>
    <x:col min="3" max="3" width="45" hidden="0" customWidth="1"/>
    <x:col min="4" max="4" width="11" hidden="0" customWidth="1"/>
    <x:col min="5" max="5" width="11" hidden="0" customWidth="1"/>
    <x:col min="6" max="6" width="11" hidden="0" customWidth="1"/>
    <x:col min="7" max="7" width="29" hidden="0" customWidth="1"/>
  </x:cols>
  <x:sheetData>
    <x:row r="1" ht="30" customHeight="1">
      <x:c r="A1" s="305" t="str">
        <x:v>문항별 응답 집계</x:v>
      </x:c>
      <x:c r="B1" s="305"/>
      <x:c r="C1" s="305"/>
      <x:c r="D1" s="305"/>
      <x:c r="E1" s="305"/>
      <x:c r="F1" s="305"/>
      <x:c r="G1" s="305"/>
    </x:row>
    <x:row r="2" ht="30" customHeight="1">
      <x:c r="A2" s="305"/>
      <x:c r="B2" s="305"/>
      <x:c r="C2" s="305"/>
      <x:c r="D2" s="305"/>
      <x:c r="E2" s="305"/>
      <x:c r="F2" s="305"/>
      <x:c r="G2" s="305"/>
    </x:row>
    <x:row r="3" ht="24" customHeight="1">
      <x:c r="A3" s="306" t="str">
        <x:v>복수선택은 응답자 기준 선택률이며 합계가 100%를 초과할 수 있음 · 조건부 문항은 해당 문항 응답자를 분모로 사용</x:v>
      </x:c>
      <x:c r="B3" s="306"/>
      <x:c r="C3" s="306"/>
      <x:c r="D3" s="306"/>
      <x:c r="E3" s="306"/>
      <x:c r="F3" s="306"/>
      <x:c r="G3" s="306"/>
    </x:row>
    <x:row r="4">
      <x:c r="A4" s="307"/>
      <x:c r="B4" s="307"/>
      <x:c r="C4" s="307"/>
      <x:c r="D4" s="307"/>
      <x:c r="E4" s="307"/>
      <x:c r="F4" s="307"/>
      <x:c r="G4" s="307"/>
    </x:row>
    <x:row r="5" ht="34" customHeight="1">
      <x:c r="A5" s="340" t="str">
        <x:v>영역</x:v>
      </x:c>
      <x:c r="B5" s="360" t="str">
        <x:v>문항</x:v>
      </x:c>
      <x:c r="C5" s="360" t="str">
        <x:v>보기</x:v>
      </x:c>
      <x:c r="D5" s="360" t="str">
        <x:v>응답수</x:v>
      </x:c>
      <x:c r="E5" s="360" t="str">
        <x:v>응답률</x:v>
      </x:c>
      <x:c r="F5" s="360" t="str">
        <x:v>분모(n)</x:v>
      </x:c>
      <x:c r="G5" s="341" t="str">
        <x:v>집계 메모</x:v>
      </x:c>
    </x:row>
    <x:row r="6" ht="34" customHeight="1">
      <x:c r="A6" s="377" t="str">
        <x:v>A. 응답자 특성</x:v>
      </x:c>
      <x:c r="B6" s="378" t="str">
        <x:v>연령대</x:v>
      </x:c>
      <x:c r="C6" s="378" t="str">
        <x:v>20대</x:v>
      </x:c>
      <x:c r="D6" s="379" t="n">
        <x:f>COUNTIF('04_원본응답'!$B$2:$B$101,"20대")</x:f>
        <x:v>42</x:v>
      </x:c>
      <x:c r="E6" s="380" t="n">
        <x:f>COUNTIF('04_원본응답'!$B$2:$B$101,"20대")/COUNTA('04_원본응답'!$B$2:$B$101)</x:f>
        <x:v>0.42</x:v>
      </x:c>
      <x:c r="F6" s="379" t="n">
        <x:f>COUNTA('04_원본응답'!$B$2:$B$101)</x:f>
        <x:v>100</x:v>
      </x:c>
      <x:c r="G6" s="378" t="str">
        <x:v>단일선택</x:v>
      </x:c>
    </x:row>
    <x:row r="7" ht="34" customHeight="1">
      <x:c r="A7" s="381" t="str">
        <x:v>A. 응답자 특성</x:v>
      </x:c>
      <x:c r="B7" s="382" t="str">
        <x:v>연령대</x:v>
      </x:c>
      <x:c r="C7" s="382" t="str">
        <x:v>30대</x:v>
      </x:c>
      <x:c r="D7" s="383" t="n">
        <x:f>COUNTIF('04_원본응답'!$B$2:$B$101,"30대")</x:f>
        <x:v>23</x:v>
      </x:c>
      <x:c r="E7" s="384" t="n">
        <x:f>COUNTIF('04_원본응답'!$B$2:$B$101,"30대")/COUNTA('04_원본응답'!$B$2:$B$101)</x:f>
        <x:v>0.23</x:v>
      </x:c>
      <x:c r="F7" s="383" t="n">
        <x:f>COUNTA('04_원본응답'!$B$2:$B$101)</x:f>
        <x:v>100</x:v>
      </x:c>
      <x:c r="G7" s="382" t="str">
        <x:v>단일선택</x:v>
      </x:c>
    </x:row>
    <x:row r="8" ht="34" customHeight="1">
      <x:c r="A8" s="381" t="str">
        <x:v>A. 응답자 특성</x:v>
      </x:c>
      <x:c r="B8" s="382" t="str">
        <x:v>연령대</x:v>
      </x:c>
      <x:c r="C8" s="382" t="str">
        <x:v>40대</x:v>
      </x:c>
      <x:c r="D8" s="383" t="n">
        <x:f>COUNTIF('04_원본응답'!$B$2:$B$101,"40대")</x:f>
        <x:v>12</x:v>
      </x:c>
      <x:c r="E8" s="384" t="n">
        <x:f>COUNTIF('04_원본응답'!$B$2:$B$101,"40대")/COUNTA('04_원본응답'!$B$2:$B$101)</x:f>
        <x:v>0.12</x:v>
      </x:c>
      <x:c r="F8" s="383" t="n">
        <x:f>COUNTA('04_원본응답'!$B$2:$B$101)</x:f>
        <x:v>100</x:v>
      </x:c>
      <x:c r="G8" s="382" t="str">
        <x:v>단일선택</x:v>
      </x:c>
    </x:row>
    <x:row r="9" ht="34" customHeight="1">
      <x:c r="A9" s="381" t="str">
        <x:v>A. 응답자 특성</x:v>
      </x:c>
      <x:c r="B9" s="382" t="str">
        <x:v>연령대</x:v>
      </x:c>
      <x:c r="C9" s="382" t="str">
        <x:v>50대 이상</x:v>
      </x:c>
      <x:c r="D9" s="383" t="n">
        <x:f>COUNTIF('04_원본응답'!$B$2:$B$101,"50대 이상")</x:f>
        <x:v>23</x:v>
      </x:c>
      <x:c r="E9" s="384" t="n">
        <x:f>COUNTIF('04_원본응답'!$B$2:$B$101,"50대 이상")/COUNTA('04_원본응답'!$B$2:$B$101)</x:f>
        <x:v>0.23</x:v>
      </x:c>
      <x:c r="F9" s="383" t="n">
        <x:f>COUNTA('04_원본응답'!$B$2:$B$101)</x:f>
        <x:v>100</x:v>
      </x:c>
      <x:c r="G9" s="382" t="str">
        <x:v>단일선택</x:v>
      </x:c>
    </x:row>
    <x:row r="10" ht="34" customHeight="1">
      <x:c r="A10" s="381" t="str">
        <x:v>A. 응답자 특성</x:v>
      </x:c>
      <x:c r="B10" s="382" t="str">
        <x:v>직업/고용형태</x:v>
      </x:c>
      <x:c r="C10" s="382" t="str">
        <x:v>학생</x:v>
      </x:c>
      <x:c r="D10" s="383" t="n">
        <x:f>COUNTIF('04_원본응답'!$C$2:$C$101,"학생")</x:f>
        <x:v>7</x:v>
      </x:c>
      <x:c r="E10" s="384" t="n">
        <x:f>COUNTIF('04_원본응답'!$C$2:$C$101,"학생")/COUNTA('04_원본응답'!$C$2:$C$101)</x:f>
        <x:v>0.07</x:v>
      </x:c>
      <x:c r="F10" s="383" t="n">
        <x:f>COUNTA('04_원본응답'!$C$2:$C$101)</x:f>
        <x:v>100</x:v>
      </x:c>
      <x:c r="G10" s="382" t="str">
        <x:v>단일선택</x:v>
      </x:c>
    </x:row>
    <x:row r="11" ht="34" customHeight="1">
      <x:c r="A11" s="381" t="str">
        <x:v>A. 응답자 특성</x:v>
      </x:c>
      <x:c r="B11" s="382" t="str">
        <x:v>직업/고용형태</x:v>
      </x:c>
      <x:c r="C11" s="382" t="str">
        <x:v>직장인</x:v>
      </x:c>
      <x:c r="D11" s="383" t="n">
        <x:f>COUNTIF('04_원본응답'!$C$2:$C$101,"직장인")</x:f>
        <x:v>30</x:v>
      </x:c>
      <x:c r="E11" s="384" t="n">
        <x:f>COUNTIF('04_원본응답'!$C$2:$C$101,"직장인")/COUNTA('04_원본응답'!$C$2:$C$101)</x:f>
        <x:v>0.3</x:v>
      </x:c>
      <x:c r="F11" s="383" t="n">
        <x:f>COUNTA('04_원본응답'!$C$2:$C$101)</x:f>
        <x:v>100</x:v>
      </x:c>
      <x:c r="G11" s="382" t="str">
        <x:v>단일선택</x:v>
      </x:c>
    </x:row>
    <x:row r="12" ht="34" customHeight="1">
      <x:c r="A12" s="381" t="str">
        <x:v>A. 응답자 특성</x:v>
      </x:c>
      <x:c r="B12" s="382" t="str">
        <x:v>직업/고용형태</x:v>
      </x:c>
      <x:c r="C12" s="382" t="str">
        <x:v>프리랜서·자영업</x:v>
      </x:c>
      <x:c r="D12" s="383" t="n">
        <x:f>COUNTIF('04_원본응답'!$C$2:$C$101,"프리랜서·자영업")</x:f>
        <x:v>19</x:v>
      </x:c>
      <x:c r="E12" s="384" t="n">
        <x:f>COUNTIF('04_원본응답'!$C$2:$C$101,"프리랜서·자영업")/COUNTA('04_원본응답'!$C$2:$C$101)</x:f>
        <x:v>0.19</x:v>
      </x:c>
      <x:c r="F12" s="383" t="n">
        <x:f>COUNTA('04_원본응답'!$C$2:$C$101)</x:f>
        <x:v>100</x:v>
      </x:c>
      <x:c r="G12" s="382" t="str">
        <x:v>단일선택</x:v>
      </x:c>
    </x:row>
    <x:row r="13" ht="34" customHeight="1">
      <x:c r="A13" s="381" t="str">
        <x:v>A. 응답자 특성</x:v>
      </x:c>
      <x:c r="B13" s="382" t="str">
        <x:v>직업/고용형태</x:v>
      </x:c>
      <x:c r="C13" s="382" t="str">
        <x:v>주부</x:v>
      </x:c>
      <x:c r="D13" s="383" t="n">
        <x:f>COUNTIF('04_원본응답'!$C$2:$C$101,"주부")</x:f>
        <x:v>13</x:v>
      </x:c>
      <x:c r="E13" s="384" t="n">
        <x:f>COUNTIF('04_원본응답'!$C$2:$C$101,"주부")/COUNTA('04_원본응답'!$C$2:$C$101)</x:f>
        <x:v>0.13</x:v>
      </x:c>
      <x:c r="F13" s="383" t="n">
        <x:f>COUNTA('04_원본응답'!$C$2:$C$101)</x:f>
        <x:v>100</x:v>
      </x:c>
      <x:c r="G13" s="382" t="str">
        <x:v>단일선택</x:v>
      </x:c>
    </x:row>
    <x:row r="14" ht="34" customHeight="1">
      <x:c r="A14" s="381" t="str">
        <x:v>A. 응답자 특성</x:v>
      </x:c>
      <x:c r="B14" s="382" t="str">
        <x:v>직업/고용형태</x:v>
      </x:c>
      <x:c r="C14" s="382" t="str">
        <x:v>기타 (무직 포함)</x:v>
      </x:c>
      <x:c r="D14" s="383" t="n">
        <x:f>COUNTIF('04_원본응답'!$C$2:$C$101,"기타 (무직 포함)")</x:f>
        <x:v>31</x:v>
      </x:c>
      <x:c r="E14" s="384" t="n">
        <x:f>COUNTIF('04_원본응답'!$C$2:$C$101,"기타 (무직 포함)")/COUNTA('04_원본응답'!$C$2:$C$101)</x:f>
        <x:v>0.31</x:v>
      </x:c>
      <x:c r="F14" s="383" t="n">
        <x:f>COUNTA('04_원본응답'!$C$2:$C$101)</x:f>
        <x:v>100</x:v>
      </x:c>
      <x:c r="G14" s="382" t="str">
        <x:v>단일선택</x:v>
      </x:c>
    </x:row>
    <x:row r="15" ht="34" customHeight="1">
      <x:c r="A15" s="381" t="str">
        <x:v>A. 응답자 특성</x:v>
      </x:c>
      <x:c r="B15" s="382" t="str">
        <x:v>유료 이용 상품 수</x:v>
      </x:c>
      <x:c r="C15" s="382" t="str">
        <x:v>1~3개</x:v>
      </x:c>
      <x:c r="D15" s="383" t="n">
        <x:f>COUNTIF('04_원본응답'!$D$2:$D$101,"1~3개")</x:f>
        <x:v>45</x:v>
      </x:c>
      <x:c r="E15" s="384" t="n">
        <x:f>COUNTIF('04_원본응답'!$D$2:$D$101,"1~3개")/COUNTA('04_원본응답'!$D$2:$D$101)</x:f>
        <x:v>0.45</x:v>
      </x:c>
      <x:c r="F15" s="383" t="n">
        <x:f>COUNTA('04_원본응답'!$D$2:$D$101)</x:f>
        <x:v>100</x:v>
      </x:c>
      <x:c r="G15" s="382" t="str">
        <x:v>단일선택</x:v>
      </x:c>
    </x:row>
    <x:row r="16" ht="34" customHeight="1">
      <x:c r="A16" s="381" t="str">
        <x:v>A. 응답자 특성</x:v>
      </x:c>
      <x:c r="B16" s="382" t="str">
        <x:v>유료 이용 상품 수</x:v>
      </x:c>
      <x:c r="C16" s="382" t="str">
        <x:v>4~6개</x:v>
      </x:c>
      <x:c r="D16" s="383" t="n">
        <x:f>COUNTIF('04_원본응답'!$D$2:$D$101,"4~6개")</x:f>
        <x:v>38</x:v>
      </x:c>
      <x:c r="E16" s="384" t="n">
        <x:f>COUNTIF('04_원본응답'!$D$2:$D$101,"4~6개")/COUNTA('04_원본응답'!$D$2:$D$101)</x:f>
        <x:v>0.38</x:v>
      </x:c>
      <x:c r="F16" s="383" t="n">
        <x:f>COUNTA('04_원본응답'!$D$2:$D$101)</x:f>
        <x:v>100</x:v>
      </x:c>
      <x:c r="G16" s="382" t="str">
        <x:v>단일선택</x:v>
      </x:c>
    </x:row>
    <x:row r="17" ht="34" customHeight="1">
      <x:c r="A17" s="381" t="str">
        <x:v>A. 응답자 특성</x:v>
      </x:c>
      <x:c r="B17" s="382" t="str">
        <x:v>유료 이용 상품 수</x:v>
      </x:c>
      <x:c r="C17" s="382" t="str">
        <x:v>7개 이상</x:v>
      </x:c>
      <x:c r="D17" s="383" t="n">
        <x:f>COUNTIF('04_원본응답'!$D$2:$D$101,"7개 이상")</x:f>
        <x:v>9</x:v>
      </x:c>
      <x:c r="E17" s="384" t="n">
        <x:f>COUNTIF('04_원본응답'!$D$2:$D$101,"7개 이상")/COUNTA('04_원본응답'!$D$2:$D$101)</x:f>
        <x:v>0.09</x:v>
      </x:c>
      <x:c r="F17" s="383" t="n">
        <x:f>COUNTA('04_원본응답'!$D$2:$D$101)</x:f>
        <x:v>100</x:v>
      </x:c>
      <x:c r="G17" s="382" t="str">
        <x:v>단일선택</x:v>
      </x:c>
    </x:row>
    <x:row r="18" ht="34" customHeight="1">
      <x:c r="A18" s="381" t="str">
        <x:v>A. 응답자 특성</x:v>
      </x:c>
      <x:c r="B18" s="382" t="str">
        <x:v>유료 이용 상품 수</x:v>
      </x:c>
      <x:c r="C18" s="382" t="str">
        <x:v>잘 모르겠다</x:v>
      </x:c>
      <x:c r="D18" s="383" t="n">
        <x:f>COUNTIF('04_원본응답'!$D$2:$D$101,"잘 모르겠다")</x:f>
        <x:v>8</x:v>
      </x:c>
      <x:c r="E18" s="384" t="n">
        <x:f>COUNTIF('04_원본응답'!$D$2:$D$101,"잘 모르겠다")/COUNTA('04_원본응답'!$D$2:$D$101)</x:f>
        <x:v>0.08</x:v>
      </x:c>
      <x:c r="F18" s="383" t="n">
        <x:f>COUNTA('04_원본응답'!$D$2:$D$101)</x:f>
        <x:v>100</x:v>
      </x:c>
      <x:c r="G18" s="382" t="str">
        <x:v>단일선택</x:v>
      </x:c>
    </x:row>
    <x:row r="19" ht="34" customHeight="1">
      <x:c r="A19" s="381" t="str">
        <x:v>A. 응답자 특성</x:v>
      </x:c>
      <x:c r="B19" s="382" t="str">
        <x:v>이용 상품 유형</x:v>
      </x:c>
      <x:c r="C19" s="382" t="str">
        <x:v>OTT</x:v>
      </x:c>
      <x:c r="D19" s="383" t="n">
        <x:f>SUM('06_집계도우미'!$C$6,'06_집계도우미'!$C$8,'06_집계도우미'!$C$9,'06_집계도우미'!$C$10,'06_집계도우미'!$C$11,'06_집계도우미'!$C$12,'06_집계도우미'!$C$13,'06_집계도우미'!$C$16,'06_집계도우미'!$C$18,'06_집계도우미'!$C$19,'06_집계도우미'!$C$20,'06_집계도우미'!$C$21,'06_집계도우미'!$C$22,'06_집계도우미'!$C$23,'06_집계도우미'!$C$25,'06_집계도우미'!$C$26,'06_집계도우미'!$C$27,'06_집계도우미'!$C$29,'06_집계도우미'!$C$30,'06_집계도우미'!$C$31,'06_집계도우미'!$C$32,'06_집계도우미'!$C$33,'06_집계도우미'!$C$35,'06_집계도우미'!$C$36,'06_집계도우미'!$C$37,'06_집계도우미'!$C$38,'06_집계도우미'!$C$39,'06_집계도우미'!$C$40,'06_집계도우미'!$C$42,'06_집계도우미'!$C$43,'06_집계도우미'!$C$44,'06_집계도우미'!$C$45,'06_집계도우미'!$C$46,'06_집계도우미'!$C$47,'06_집계도우미'!$C$49,'06_집계도우미'!$C$52,'06_집계도우미'!$C$53,'06_집계도우미'!$C$54,'06_집계도우미'!$C$55,'06_집계도우미'!$C$57,'06_집계도우미'!$C$58,'06_집계도우미'!$C$59,'06_집계도우미'!$C$61,'06_집계도우미'!$C$63,'06_집계도우미'!$C$65)</x:f>
        <x:v>84</x:v>
      </x:c>
      <x:c r="E19" s="384" t="n">
        <x:f>SUM('06_집계도우미'!$C$6,'06_집계도우미'!$C$8,'06_집계도우미'!$C$9,'06_집계도우미'!$C$10,'06_집계도우미'!$C$11,'06_집계도우미'!$C$12,'06_집계도우미'!$C$13,'06_집계도우미'!$C$16,'06_집계도우미'!$C$18,'06_집계도우미'!$C$19,'06_집계도우미'!$C$20,'06_집계도우미'!$C$21,'06_집계도우미'!$C$22,'06_집계도우미'!$C$23,'06_집계도우미'!$C$25,'06_집계도우미'!$C$26,'06_집계도우미'!$C$27,'06_집계도우미'!$C$29,'06_집계도우미'!$C$30,'06_집계도우미'!$C$31,'06_집계도우미'!$C$32,'06_집계도우미'!$C$33,'06_집계도우미'!$C$35,'06_집계도우미'!$C$36,'06_집계도우미'!$C$37,'06_집계도우미'!$C$38,'06_집계도우미'!$C$39,'06_집계도우미'!$C$40,'06_집계도우미'!$C$42,'06_집계도우미'!$C$43,'06_집계도우미'!$C$44,'06_집계도우미'!$C$45,'06_집계도우미'!$C$46,'06_집계도우미'!$C$47,'06_집계도우미'!$C$49,'06_집계도우미'!$C$52,'06_집계도우미'!$C$53,'06_집계도우미'!$C$54,'06_집계도우미'!$C$55,'06_집계도우미'!$C$57,'06_집계도우미'!$C$58,'06_집계도우미'!$C$59,'06_집계도우미'!$C$61,'06_집계도우미'!$C$63,'06_집계도우미'!$C$65)/COUNTA('04_원본응답'!$E$2:$E$101)</x:f>
        <x:v>0.84</x:v>
      </x:c>
      <x:c r="F19" s="383" t="n">
        <x:f>COUNTA('04_원본응답'!$E$2:$E$101)</x:f>
        <x:v>100</x:v>
      </x:c>
      <x:c r="G19" s="382" t="str">
        <x:v>복수선택 · 응답자 기준</x:v>
      </x:c>
    </x:row>
    <x:row r="20" ht="34" customHeight="1">
      <x:c r="A20" s="381" t="str">
        <x:v>A. 응답자 특성</x:v>
      </x:c>
      <x:c r="B20" s="382" t="str">
        <x:v>이용 상품 유형</x:v>
      </x:c>
      <x:c r="C20" s="382" t="str">
        <x:v>생성형 AI</x:v>
      </x:c>
      <x:c r="D20" s="383" t="n">
        <x:f>SUM('06_집계도우미'!$C$6,'06_집계도우미'!$C$7,'06_집계도우미'!$C$8,'06_집계도우미'!$C$9,'06_집계도우미'!$C$10,'06_집계도우미'!$C$12,'06_집계도우미'!$C$13,'06_집계도우미'!$C$14,'06_집계도우미'!$C$15,'06_집계도우미'!$C$19,'06_집계도우미'!$C$21,'06_집계도우미'!$C$27,'06_집계도우미'!$C$30,'06_집계도우미'!$C$31,'06_집계도우미'!$C$32,'06_집계도우미'!$C$33,'06_집계도우미'!$C$35,'06_집계도우미'!$C$37,'06_집계도우미'!$C$40,'06_집계도우미'!$C$44,'06_집계도우미'!$C$50,'06_집계도우미'!$C$51,'06_집계도우미'!$C$54,'06_집계도우미'!$C$56,'06_집계도우미'!$C$57,'06_집계도우미'!$C$62,'06_집계도우미'!$C$64,'06_집계도우미'!$C$65)</x:f>
        <x:v>45</x:v>
      </x:c>
      <x:c r="E20" s="384" t="n">
        <x:f>SUM('06_집계도우미'!$C$6,'06_집계도우미'!$C$7,'06_집계도우미'!$C$8,'06_집계도우미'!$C$9,'06_집계도우미'!$C$10,'06_집계도우미'!$C$12,'06_집계도우미'!$C$13,'06_집계도우미'!$C$14,'06_집계도우미'!$C$15,'06_집계도우미'!$C$19,'06_집계도우미'!$C$21,'06_집계도우미'!$C$27,'06_집계도우미'!$C$30,'06_집계도우미'!$C$31,'06_집계도우미'!$C$32,'06_집계도우미'!$C$33,'06_집계도우미'!$C$35,'06_집계도우미'!$C$37,'06_집계도우미'!$C$40,'06_집계도우미'!$C$44,'06_집계도우미'!$C$50,'06_집계도우미'!$C$51,'06_집계도우미'!$C$54,'06_집계도우미'!$C$56,'06_집계도우미'!$C$57,'06_집계도우미'!$C$62,'06_집계도우미'!$C$64,'06_집계도우미'!$C$65)/COUNTA('04_원본응답'!$E$2:$E$101)</x:f>
        <x:v>0.45</x:v>
      </x:c>
      <x:c r="F20" s="383" t="n">
        <x:f>COUNTA('04_원본응답'!$E$2:$E$101)</x:f>
        <x:v>100</x:v>
      </x:c>
      <x:c r="G20" s="382" t="str">
        <x:v>복수선택 · 응답자 기준</x:v>
      </x:c>
    </x:row>
    <x:row r="21" ht="34" customHeight="1">
      <x:c r="A21" s="381" t="str">
        <x:v>A. 응답자 특성</x:v>
      </x:c>
      <x:c r="B21" s="382" t="str">
        <x:v>이용 상품 유형</x:v>
      </x:c>
      <x:c r="C21" s="382" t="str">
        <x:v>음악·전자책·콘텐츠</x:v>
      </x:c>
      <x:c r="D21" s="383" t="n">
        <x:f>SUM('06_집계도우미'!$C$7,'06_집계도우미'!$C$8,'06_집계도우미'!$C$11,'06_집계도우미'!$C$12,'06_집계도우미'!$C$13,'06_집계도우미'!$C$15,'06_집계도우미'!$C$16,'06_집계도우미'!$C$17,'06_집계도우미'!$C$19,'06_집계도우미'!$C$20,'06_집계도우미'!$C$24,'06_집계도우미'!$C$26,'06_집계도우미'!$C$29,'06_집계도우미'!$C$30,'06_집계도우미'!$C$31,'06_집계도우미'!$C$33,'06_집계도우미'!$C$35,'06_집계도우미'!$C$36,'06_집계도우미'!$C$37,'06_집계도우미'!$C$39,'06_집계도우미'!$C$40,'06_집계도우미'!$C$41,'06_집계도우미'!$C$44,'06_집계도우미'!$C$46,'06_집계도우미'!$C$47,'06_집계도우미'!$C$48,'06_집계도우미'!$C$49,'06_집계도우미'!$C$57,'06_집계도우미'!$C$58,'06_집계도우미'!$C$59,'06_집계도우미'!$C$61,'06_집계도우미'!$C$63,'06_집계도우미'!$C$64,'06_집계도우미'!$C$65)</x:f>
        <x:v>58</x:v>
      </x:c>
      <x:c r="E21" s="384" t="n">
        <x:f>SUM('06_집계도우미'!$C$7,'06_집계도우미'!$C$8,'06_집계도우미'!$C$11,'06_집계도우미'!$C$12,'06_집계도우미'!$C$13,'06_집계도우미'!$C$15,'06_집계도우미'!$C$16,'06_집계도우미'!$C$17,'06_집계도우미'!$C$19,'06_집계도우미'!$C$20,'06_집계도우미'!$C$24,'06_집계도우미'!$C$26,'06_집계도우미'!$C$29,'06_집계도우미'!$C$30,'06_집계도우미'!$C$31,'06_집계도우미'!$C$33,'06_집계도우미'!$C$35,'06_집계도우미'!$C$36,'06_집계도우미'!$C$37,'06_집계도우미'!$C$39,'06_집계도우미'!$C$40,'06_집계도우미'!$C$41,'06_집계도우미'!$C$44,'06_집계도우미'!$C$46,'06_집계도우미'!$C$47,'06_집계도우미'!$C$48,'06_집계도우미'!$C$49,'06_집계도우미'!$C$57,'06_집계도우미'!$C$58,'06_집계도우미'!$C$59,'06_집계도우미'!$C$61,'06_집계도우미'!$C$63,'06_집계도우미'!$C$64,'06_집계도우미'!$C$65)/COUNTA('04_원본응답'!$E$2:$E$101)</x:f>
        <x:v>0.58</x:v>
      </x:c>
      <x:c r="F21" s="383" t="n">
        <x:f>COUNTA('04_원본응답'!$E$2:$E$101)</x:f>
        <x:v>100</x:v>
      </x:c>
      <x:c r="G21" s="382" t="str">
        <x:v>복수선택 · 응답자 기준</x:v>
      </x:c>
    </x:row>
    <x:row r="22" ht="34" customHeight="1">
      <x:c r="A22" s="381" t="str">
        <x:v>A. 응답자 특성</x:v>
      </x:c>
      <x:c r="B22" s="382" t="str">
        <x:v>이용 상품 유형</x:v>
      </x:c>
      <x:c r="C22" s="382" t="str">
        <x:v>쇼핑 멤버십</x:v>
      </x:c>
      <x:c r="D22" s="383" t="n">
        <x:f>SUM('06_집계도우미'!$C$8,'06_집계도우미'!$C$9,'06_집계도우미'!$C$10,'06_집계도우미'!$C$11,'06_집계도우미'!$C$12,'06_집계도우미'!$C$15,'06_집계도우미'!$C$16,'06_집계도우미'!$C$19,'06_집계도우미'!$C$20,'06_집계도우미'!$C$21,'06_집계도우미'!$C$22,'06_집계도우미'!$C$24,'06_집계도우미'!$C$28,'06_집계도우미'!$C$30,'06_집계도우미'!$C$31,'06_집계도우미'!$C$33,'06_집계도우미'!$C$37,'06_집계도우미'!$C$38,'06_집계도우미'!$C$39,'06_집계도우미'!$C$40,'06_집계도우미'!$C$42,'06_집계도우미'!$C$43,'06_집계도우미'!$C$44,'06_집계도우미'!$C$47,'06_집계도우미'!$C$51,'06_집계도우미'!$C$52,'06_집계도우미'!$C$53,'06_집계도우미'!$C$56,'06_집계도우미'!$C$57,'06_집계도우미'!$C$59,'06_집계도우미'!$C$60,'06_집계도우미'!$C$62)</x:f>
        <x:v>59</x:v>
      </x:c>
      <x:c r="E22" s="384" t="n">
        <x:f>SUM('06_집계도우미'!$C$8,'06_집계도우미'!$C$9,'06_집계도우미'!$C$10,'06_집계도우미'!$C$11,'06_집계도우미'!$C$12,'06_집계도우미'!$C$15,'06_집계도우미'!$C$16,'06_집계도우미'!$C$19,'06_집계도우미'!$C$20,'06_집계도우미'!$C$21,'06_집계도우미'!$C$22,'06_집계도우미'!$C$24,'06_집계도우미'!$C$28,'06_집계도우미'!$C$30,'06_집계도우미'!$C$31,'06_집계도우미'!$C$33,'06_집계도우미'!$C$37,'06_집계도우미'!$C$38,'06_집계도우미'!$C$39,'06_집계도우미'!$C$40,'06_집계도우미'!$C$42,'06_집계도우미'!$C$43,'06_집계도우미'!$C$44,'06_집계도우미'!$C$47,'06_집계도우미'!$C$51,'06_집계도우미'!$C$52,'06_집계도우미'!$C$53,'06_집계도우미'!$C$56,'06_집계도우미'!$C$57,'06_집계도우미'!$C$59,'06_집계도우미'!$C$60,'06_집계도우미'!$C$62)/COUNTA('04_원본응답'!$E$2:$E$101)</x:f>
        <x:v>0.59</x:v>
      </x:c>
      <x:c r="F22" s="383" t="n">
        <x:f>COUNTA('04_원본응답'!$E$2:$E$101)</x:f>
        <x:v>100</x:v>
      </x:c>
      <x:c r="G22" s="382" t="str">
        <x:v>복수선택 · 응답자 기준</x:v>
      </x:c>
    </x:row>
    <x:row r="23" ht="34" customHeight="1">
      <x:c r="A23" s="381" t="str">
        <x:v>A. 응답자 특성</x:v>
      </x:c>
      <x:c r="B23" s="382" t="str">
        <x:v>이용 상품 유형</x:v>
      </x:c>
      <x:c r="C23" s="382" t="str">
        <x:v>배달 멤버십</x:v>
      </x:c>
      <x:c r="D23" s="383" t="n">
        <x:f>SUM('06_집계도우미'!$C$6,'06_집계도우미'!$C$7,'06_집계도우미'!$C$9,'06_집계도우미'!$C$10,'06_집계도우미'!$C$11,'06_집계도우미'!$C$12,'06_집계도우미'!$C$13,'06_집계도우미'!$C$15,'06_집계도우미'!$C$16,'06_집계도우미'!$C$19,'06_집계도우미'!$C$21,'06_집계도우미'!$C$23,'06_집계도우미'!$C$26,'06_집계도우미'!$C$27,'06_집계도우미'!$C$28,'06_집계도우미'!$C$33,'06_집계도우미'!$C$36,'06_집계도우미'!$C$37,'06_집계도우미'!$C$41,'06_집계도우미'!$C$42,'06_집계도우미'!$C$43,'06_집계도우미'!$C$45,'06_집계도우미'!$C$47,'06_집계도우미'!$C$49,'06_집계도우미'!$C$50,'06_집계도우미'!$C$52)</x:f>
        <x:v>49</x:v>
      </x:c>
      <x:c r="E23" s="384" t="n">
        <x:f>SUM('06_집계도우미'!$C$6,'06_집계도우미'!$C$7,'06_집계도우미'!$C$9,'06_집계도우미'!$C$10,'06_집계도우미'!$C$11,'06_집계도우미'!$C$12,'06_집계도우미'!$C$13,'06_집계도우미'!$C$15,'06_집계도우미'!$C$16,'06_집계도우미'!$C$19,'06_집계도우미'!$C$21,'06_집계도우미'!$C$23,'06_집계도우미'!$C$26,'06_집계도우미'!$C$27,'06_집계도우미'!$C$28,'06_집계도우미'!$C$33,'06_집계도우미'!$C$36,'06_집계도우미'!$C$37,'06_집계도우미'!$C$41,'06_집계도우미'!$C$42,'06_집계도우미'!$C$43,'06_집계도우미'!$C$45,'06_집계도우미'!$C$47,'06_집계도우미'!$C$49,'06_집계도우미'!$C$50,'06_집계도우미'!$C$52)/COUNTA('04_원본응답'!$E$2:$E$101)</x:f>
        <x:v>0.49</x:v>
      </x:c>
      <x:c r="F23" s="383" t="n">
        <x:f>COUNTA('04_원본응답'!$E$2:$E$101)</x:f>
        <x:v>100</x:v>
      </x:c>
      <x:c r="G23" s="382" t="str">
        <x:v>복수선택 · 응답자 기준</x:v>
      </x:c>
    </x:row>
    <x:row r="24" ht="34" customHeight="1">
      <x:c r="A24" s="381" t="str">
        <x:v>A. 응답자 특성</x:v>
      </x:c>
      <x:c r="B24" s="382" t="str">
        <x:v>이용 상품 유형</x:v>
      </x:c>
      <x:c r="C24" s="382" t="str">
        <x:v>클라우드·생산성 툴</x:v>
      </x:c>
      <x:c r="D24" s="383" t="n">
        <x:f>SUM('06_집계도우미'!$C$6,'06_집계도우미'!$C$12,'06_집계도우미'!$C$15,'06_집계도우미'!$C$16,'06_집계도우미'!$C$19,'06_집계도우미'!$C$30,'06_집계도우미'!$C$35,'06_집계도우미'!$C$44,'06_집계도우미'!$C$45,'06_집계도우미'!$C$48,'06_집계도우미'!$C$49,'06_집계도우미'!$C$53,'06_집계도우미'!$C$54,'06_집계도우미'!$C$57,'06_집계도우미'!$C$58,'06_집계도우미'!$C$59,'06_집계도우미'!$C$61,'06_집계도우미'!$C$64)</x:f>
        <x:v>24</x:v>
      </x:c>
      <x:c r="E24" s="384" t="n">
        <x:f>SUM('06_집계도우미'!$C$6,'06_집계도우미'!$C$12,'06_집계도우미'!$C$15,'06_집계도우미'!$C$16,'06_집계도우미'!$C$19,'06_집계도우미'!$C$30,'06_집계도우미'!$C$35,'06_집계도우미'!$C$44,'06_집계도우미'!$C$45,'06_집계도우미'!$C$48,'06_집계도우미'!$C$49,'06_집계도우미'!$C$53,'06_집계도우미'!$C$54,'06_집계도우미'!$C$57,'06_집계도우미'!$C$58,'06_집계도우미'!$C$59,'06_집계도우미'!$C$61,'06_집계도우미'!$C$64)/COUNTA('04_원본응답'!$E$2:$E$101)</x:f>
        <x:v>0.24</x:v>
      </x:c>
      <x:c r="F24" s="383" t="n">
        <x:f>COUNTA('04_원본응답'!$E$2:$E$101)</x:f>
        <x:v>100</x:v>
      </x:c>
      <x:c r="G24" s="382" t="str">
        <x:v>복수선택 · 응답자 기준</x:v>
      </x:c>
    </x:row>
    <x:row r="25" ht="34" customHeight="1">
      <x:c r="A25" s="381" t="str">
        <x:v>A. 응답자 특성</x:v>
      </x:c>
      <x:c r="B25" s="382" t="str">
        <x:v>이용 상품 유형</x:v>
      </x:c>
      <x:c r="C25" s="382" t="str">
        <x:v>게임 패스</x:v>
      </x:c>
      <x:c r="D25" s="383" t="n">
        <x:f>SUM('06_집계도우미'!$C$8,'06_집계도우미'!$C$10,'06_집계도우미'!$C$24,'06_집계도우미'!$C$44,'06_집계도우미'!$C$55)</x:f>
        <x:v>6</x:v>
      </x:c>
      <x:c r="E25" s="384" t="n">
        <x:f>SUM('06_집계도우미'!$C$8,'06_집계도우미'!$C$10,'06_집계도우미'!$C$24,'06_집계도우미'!$C$44,'06_집계도우미'!$C$55)/COUNTA('04_원본응답'!$E$2:$E$101)</x:f>
        <x:v>0.06</x:v>
      </x:c>
      <x:c r="F25" s="383" t="n">
        <x:f>COUNTA('04_원본응답'!$E$2:$E$101)</x:f>
        <x:v>100</x:v>
      </x:c>
      <x:c r="G25" s="382" t="str">
        <x:v>복수선택 · 응답자 기준</x:v>
      </x:c>
    </x:row>
    <x:row r="26" ht="34" customHeight="1">
      <x:c r="A26" s="381" t="str">
        <x:v>A. 응답자 특성</x:v>
      </x:c>
      <x:c r="B26" s="382" t="str">
        <x:v>이용 상품 유형</x:v>
      </x:c>
      <x:c r="C26" s="382" t="str">
        <x:v>통신사 결합상품·구독 혜택</x:v>
      </x:c>
      <x:c r="D26" s="383" t="n">
        <x:f>SUM('06_집계도우미'!$C$8,'06_집계도우미'!$C$12,'06_집계도우미'!$C$16,'06_집계도우미'!$C$18,'06_집계도우미'!$C$21,'06_집계도우미'!$C$24,'06_집계도우미'!$C$29,'06_집계도우미'!$C$30,'06_집계도우미'!$C$31,'06_집계도우미'!$C$33,'06_집계도우미'!$C$34,'06_집계도우미'!$C$36,'06_집계도우미'!$C$38,'06_집계도우미'!$C$39,'06_집계도우미'!$C$42,'06_집계도우미'!$C$44,'06_집계도우미'!$C$47,'06_집계도우미'!$C$54,'06_집계도우미'!$C$61,'06_집계도우미'!$C$62,'06_집계도우미'!$C$65)</x:f>
        <x:v>35</x:v>
      </x:c>
      <x:c r="E26" s="384" t="n">
        <x:f>SUM('06_집계도우미'!$C$8,'06_집계도우미'!$C$12,'06_집계도우미'!$C$16,'06_집계도우미'!$C$18,'06_집계도우미'!$C$21,'06_집계도우미'!$C$24,'06_집계도우미'!$C$29,'06_집계도우미'!$C$30,'06_집계도우미'!$C$31,'06_집계도우미'!$C$33,'06_집계도우미'!$C$34,'06_집계도우미'!$C$36,'06_집계도우미'!$C$38,'06_집계도우미'!$C$39,'06_집계도우미'!$C$42,'06_집계도우미'!$C$44,'06_집계도우미'!$C$47,'06_집계도우미'!$C$54,'06_집계도우미'!$C$61,'06_집계도우미'!$C$62,'06_집계도우미'!$C$65)/COUNTA('04_원본응답'!$E$2:$E$101)</x:f>
        <x:v>0.35</x:v>
      </x:c>
      <x:c r="F26" s="383" t="n">
        <x:f>COUNTA('04_원본응답'!$E$2:$E$101)</x:f>
        <x:v>100</x:v>
      </x:c>
      <x:c r="G26" s="382" t="str">
        <x:v>복수선택 · 응답자 기준</x:v>
      </x:c>
    </x:row>
    <x:row r="27" ht="34" customHeight="1">
      <x:c r="A27" s="381" t="str">
        <x:v>A. 응답자 특성</x:v>
      </x:c>
      <x:c r="B27" s="382" t="str">
        <x:v>월평균 관련 지출액</x:v>
      </x:c>
      <x:c r="C27" s="382" t="str">
        <x:v>1만원 미만</x:v>
      </x:c>
      <x:c r="D27" s="383" t="n">
        <x:f>COUNTIF('04_원본응답'!$F$2:$F$101,"1만원 미만")</x:f>
        <x:v>9</x:v>
      </x:c>
      <x:c r="E27" s="384" t="n">
        <x:f>COUNTIF('04_원본응답'!$F$2:$F$101,"1만원 미만")/COUNTA('04_원본응답'!$F$2:$F$101)</x:f>
        <x:v>0.09</x:v>
      </x:c>
      <x:c r="F27" s="383" t="n">
        <x:f>COUNTA('04_원본응답'!$F$2:$F$101)</x:f>
        <x:v>100</x:v>
      </x:c>
      <x:c r="G27" s="382" t="str">
        <x:v>단일선택</x:v>
      </x:c>
    </x:row>
    <x:row r="28" ht="34" customHeight="1">
      <x:c r="A28" s="381" t="str">
        <x:v>A. 응답자 특성</x:v>
      </x:c>
      <x:c r="B28" s="382" t="str">
        <x:v>월평균 관련 지출액</x:v>
      </x:c>
      <x:c r="C28" s="382" t="str">
        <x:v>1~5만원</x:v>
      </x:c>
      <x:c r="D28" s="383" t="n">
        <x:f>COUNTIF('04_원본응답'!$F$2:$F$101,"1~5만원")</x:f>
        <x:v>54</x:v>
      </x:c>
      <x:c r="E28" s="384" t="n">
        <x:f>COUNTIF('04_원본응답'!$F$2:$F$101,"1~5만원")/COUNTA('04_원본응답'!$F$2:$F$101)</x:f>
        <x:v>0.54</x:v>
      </x:c>
      <x:c r="F28" s="383" t="n">
        <x:f>COUNTA('04_원본응답'!$F$2:$F$101)</x:f>
        <x:v>100</x:v>
      </x:c>
      <x:c r="G28" s="382" t="str">
        <x:v>단일선택</x:v>
      </x:c>
    </x:row>
    <x:row r="29" ht="34" customHeight="1">
      <x:c r="A29" s="381" t="str">
        <x:v>A. 응답자 특성</x:v>
      </x:c>
      <x:c r="B29" s="382" t="str">
        <x:v>월평균 관련 지출액</x:v>
      </x:c>
      <x:c r="C29" s="382" t="str">
        <x:v>5~10만원 이상</x:v>
      </x:c>
      <x:c r="D29" s="383" t="n">
        <x:f>COUNTIF('04_원본응답'!$F$2:$F$101,"5~10만원 이상")</x:f>
        <x:v>30</x:v>
      </x:c>
      <x:c r="E29" s="384" t="n">
        <x:f>COUNTIF('04_원본응답'!$F$2:$F$101,"5~10만원 이상")/COUNTA('04_원본응답'!$F$2:$F$101)</x:f>
        <x:v>0.3</x:v>
      </x:c>
      <x:c r="F29" s="383" t="n">
        <x:f>COUNTA('04_원본응답'!$F$2:$F$101)</x:f>
        <x:v>100</x:v>
      </x:c>
      <x:c r="G29" s="382" t="str">
        <x:v>단일선택</x:v>
      </x:c>
    </x:row>
    <x:row r="30" ht="34" customHeight="1">
      <x:c r="A30" s="381" t="str">
        <x:v>A. 응답자 특성</x:v>
      </x:c>
      <x:c r="B30" s="382" t="str">
        <x:v>월평균 관련 지출액</x:v>
      </x:c>
      <x:c r="C30" s="382" t="str">
        <x:v>잘 모르겠다</x:v>
      </x:c>
      <x:c r="D30" s="383" t="n">
        <x:f>COUNTIF('04_원본응답'!$F$2:$F$101,"잘 모르겠다")</x:f>
        <x:v>7</x:v>
      </x:c>
      <x:c r="E30" s="384" t="n">
        <x:f>COUNTIF('04_원본응답'!$F$2:$F$101,"잘 모르겠다")/COUNTA('04_원본응답'!$F$2:$F$101)</x:f>
        <x:v>0.07</x:v>
      </x:c>
      <x:c r="F30" s="383" t="n">
        <x:f>COUNTA('04_원본응답'!$F$2:$F$101)</x:f>
        <x:v>100</x:v>
      </x:c>
      <x:c r="G30" s="382" t="str">
        <x:v>단일선택</x:v>
      </x:c>
    </x:row>
    <x:row r="31" ht="34" customHeight="1">
      <x:c r="A31" s="381" t="str">
        <x:v>B. 혜택 인지</x:v>
      </x:c>
      <x:c r="B31" s="382" t="str">
        <x:v>포함 혜택 인지 수준 (1~5)</x:v>
      </x:c>
      <x:c r="C31" s="382" t="str">
        <x:v>1</x:v>
      </x:c>
      <x:c r="D31" s="383" t="n">
        <x:f>COUNTIF('04_원본응답'!$G$2:$G$101,"1")</x:f>
        <x:v>11</x:v>
      </x:c>
      <x:c r="E31" s="384" t="n">
        <x:f>COUNTIF('04_원본응답'!$G$2:$G$101,"1")/COUNTA('04_원본응답'!$G$2:$G$101)</x:f>
        <x:v>0.11</x:v>
      </x:c>
      <x:c r="F31" s="383" t="n">
        <x:f>COUNTA('04_원본응답'!$G$2:$G$101)</x:f>
        <x:v>100</x:v>
      </x:c>
      <x:c r="G31" s="382" t="str">
        <x:v>단일선택</x:v>
      </x:c>
    </x:row>
    <x:row r="32" ht="34" customHeight="1">
      <x:c r="A32" s="381" t="str">
        <x:v>B. 혜택 인지</x:v>
      </x:c>
      <x:c r="B32" s="382" t="str">
        <x:v>포함 혜택 인지 수준 (1~5)</x:v>
      </x:c>
      <x:c r="C32" s="382" t="str">
        <x:v>2</x:v>
      </x:c>
      <x:c r="D32" s="383" t="n">
        <x:f>COUNTIF('04_원본응답'!$G$2:$G$101,"2")</x:f>
        <x:v>22</x:v>
      </x:c>
      <x:c r="E32" s="384" t="n">
        <x:f>COUNTIF('04_원본응답'!$G$2:$G$101,"2")/COUNTA('04_원본응답'!$G$2:$G$101)</x:f>
        <x:v>0.22</x:v>
      </x:c>
      <x:c r="F32" s="383" t="n">
        <x:f>COUNTA('04_원본응답'!$G$2:$G$101)</x:f>
        <x:v>100</x:v>
      </x:c>
      <x:c r="G32" s="382" t="str">
        <x:v>단일선택</x:v>
      </x:c>
    </x:row>
    <x:row r="33" ht="34" customHeight="1">
      <x:c r="A33" s="381" t="str">
        <x:v>B. 혜택 인지</x:v>
      </x:c>
      <x:c r="B33" s="382" t="str">
        <x:v>포함 혜택 인지 수준 (1~5)</x:v>
      </x:c>
      <x:c r="C33" s="382" t="str">
        <x:v>3</x:v>
      </x:c>
      <x:c r="D33" s="383" t="n">
        <x:f>COUNTIF('04_원본응답'!$G$2:$G$101,"3")</x:f>
        <x:v>32</x:v>
      </x:c>
      <x:c r="E33" s="384" t="n">
        <x:f>COUNTIF('04_원본응답'!$G$2:$G$101,"3")/COUNTA('04_원본응답'!$G$2:$G$101)</x:f>
        <x:v>0.32</x:v>
      </x:c>
      <x:c r="F33" s="383" t="n">
        <x:f>COUNTA('04_원본응답'!$G$2:$G$101)</x:f>
        <x:v>100</x:v>
      </x:c>
      <x:c r="G33" s="382" t="str">
        <x:v>단일선택</x:v>
      </x:c>
    </x:row>
    <x:row r="34" ht="34" customHeight="1">
      <x:c r="A34" s="381" t="str">
        <x:v>B. 혜택 인지</x:v>
      </x:c>
      <x:c r="B34" s="382" t="str">
        <x:v>포함 혜택 인지 수준 (1~5)</x:v>
      </x:c>
      <x:c r="C34" s="382" t="str">
        <x:v>4</x:v>
      </x:c>
      <x:c r="D34" s="383" t="n">
        <x:f>COUNTIF('04_원본응답'!$G$2:$G$101,"4")</x:f>
        <x:v>27</x:v>
      </x:c>
      <x:c r="E34" s="384" t="n">
        <x:f>COUNTIF('04_원본응답'!$G$2:$G$101,"4")/COUNTA('04_원본응답'!$G$2:$G$101)</x:f>
        <x:v>0.27</x:v>
      </x:c>
      <x:c r="F34" s="383" t="n">
        <x:f>COUNTA('04_원본응답'!$G$2:$G$101)</x:f>
        <x:v>100</x:v>
      </x:c>
      <x:c r="G34" s="382" t="str">
        <x:v>단일선택</x:v>
      </x:c>
    </x:row>
    <x:row r="35" ht="34" customHeight="1">
      <x:c r="A35" s="381" t="str">
        <x:v>B. 혜택 인지</x:v>
      </x:c>
      <x:c r="B35" s="382" t="str">
        <x:v>포함 혜택 인지 수준 (1~5)</x:v>
      </x:c>
      <x:c r="C35" s="382" t="str">
        <x:v>5</x:v>
      </x:c>
      <x:c r="D35" s="383" t="n">
        <x:f>COUNTIF('04_원본응답'!$G$2:$G$101,"5")</x:f>
        <x:v>8</x:v>
      </x:c>
      <x:c r="E35" s="384" t="n">
        <x:f>COUNTIF('04_원본응답'!$G$2:$G$101,"5")/COUNTA('04_원본응답'!$G$2:$G$101)</x:f>
        <x:v>0.08</x:v>
      </x:c>
      <x:c r="F35" s="383" t="n">
        <x:f>COUNTA('04_원본응답'!$G$2:$G$101)</x:f>
        <x:v>100</x:v>
      </x:c>
      <x:c r="G35" s="382" t="str">
        <x:v>단일선택</x:v>
      </x:c>
    </x:row>
    <x:row r="36" ht="34" customHeight="1">
      <x:c r="A36" s="381" t="str">
        <x:v>B. 혜택 인지</x:v>
      </x:c>
      <x:c r="B36" s="382" t="str">
        <x:v>놓친 혜택을 뒤늦게 발견</x:v>
      </x:c>
      <x:c r="C36" s="382" t="str">
        <x:v>없다</x:v>
      </x:c>
      <x:c r="D36" s="383" t="n">
        <x:f>COUNTIF('04_원본응답'!$H$2:$H$101,"없다")</x:f>
        <x:v>8</x:v>
      </x:c>
      <x:c r="E36" s="384" t="n">
        <x:f>COUNTIF('04_원본응답'!$H$2:$H$101,"없다")/COUNTA('04_원본응답'!$H$2:$H$101)</x:f>
        <x:v>0.08</x:v>
      </x:c>
      <x:c r="F36" s="383" t="n">
        <x:f>COUNTA('04_원본응답'!$H$2:$H$101)</x:f>
        <x:v>100</x:v>
      </x:c>
      <x:c r="G36" s="382" t="str">
        <x:v>단일선택</x:v>
      </x:c>
    </x:row>
    <x:row r="37" ht="34" customHeight="1">
      <x:c r="A37" s="381" t="str">
        <x:v>B. 혜택 인지</x:v>
      </x:c>
      <x:c r="B37" s="382" t="str">
        <x:v>놓친 혜택을 뒤늦게 발견</x:v>
      </x:c>
      <x:c r="C37" s="382" t="str">
        <x:v>기억나지 않는다</x:v>
      </x:c>
      <x:c r="D37" s="383" t="n">
        <x:f>COUNTIF('04_원본응답'!$H$2:$H$101,"기억나지 않는다")</x:f>
        <x:v>10</x:v>
      </x:c>
      <x:c r="E37" s="384" t="n">
        <x:f>COUNTIF('04_원본응답'!$H$2:$H$101,"기억나지 않는다")/COUNTA('04_원본응답'!$H$2:$H$101)</x:f>
        <x:v>0.1</x:v>
      </x:c>
      <x:c r="F37" s="383" t="n">
        <x:f>COUNTA('04_원본응답'!$H$2:$H$101)</x:f>
        <x:v>100</x:v>
      </x:c>
      <x:c r="G37" s="382" t="str">
        <x:v>단일선택</x:v>
      </x:c>
    </x:row>
    <x:row r="38" ht="34" customHeight="1">
      <x:c r="A38" s="381" t="str">
        <x:v>B. 혜택 인지</x:v>
      </x:c>
      <x:c r="B38" s="382" t="str">
        <x:v>놓친 혜택을 뒤늦게 발견</x:v>
      </x:c>
      <x:c r="C38" s="382" t="str">
        <x:v>1~2번 있다</x:v>
      </x:c>
      <x:c r="D38" s="383" t="n">
        <x:f>COUNTIF('04_원본응답'!$H$2:$H$101,"1~2번 있다")</x:f>
        <x:v>1</x:v>
      </x:c>
      <x:c r="E38" s="384" t="n">
        <x:f>COUNTIF('04_원본응답'!$H$2:$H$101,"1~2번 있다")/COUNTA('04_원본응답'!$H$2:$H$101)</x:f>
        <x:v>0.01</x:v>
      </x:c>
      <x:c r="F38" s="383" t="n">
        <x:f>COUNTA('04_원본응답'!$H$2:$H$101)</x:f>
        <x:v>100</x:v>
      </x:c>
      <x:c r="G38" s="382" t="str">
        <x:v>단일선택</x:v>
      </x:c>
    </x:row>
    <x:row r="39" ht="34" customHeight="1">
      <x:c r="A39" s="381" t="str">
        <x:v>B. 혜택 인지</x:v>
      </x:c>
      <x:c r="B39" s="382" t="str">
        <x:v>놓친 혜택을 뒤늦게 발견</x:v>
      </x:c>
      <x:c r="C39" s="382" t="str">
        <x:v>가끔 있다</x:v>
      </x:c>
      <x:c r="D39" s="383" t="n">
        <x:f>COUNTIF('04_원본응답'!$H$2:$H$101,"가끔 있다")</x:f>
        <x:v>53</x:v>
      </x:c>
      <x:c r="E39" s="384" t="n">
        <x:f>COUNTIF('04_원본응답'!$H$2:$H$101,"가끔 있다")/COUNTA('04_원본응답'!$H$2:$H$101)</x:f>
        <x:v>0.53</x:v>
      </x:c>
      <x:c r="F39" s="383" t="n">
        <x:f>COUNTA('04_원본응답'!$H$2:$H$101)</x:f>
        <x:v>100</x:v>
      </x:c>
      <x:c r="G39" s="382" t="str">
        <x:v>단일선택</x:v>
      </x:c>
    </x:row>
    <x:row r="40" ht="34" customHeight="1">
      <x:c r="A40" s="381" t="str">
        <x:v>B. 혜택 인지</x:v>
      </x:c>
      <x:c r="B40" s="382" t="str">
        <x:v>놓친 혜택을 뒤늦게 발견</x:v>
      </x:c>
      <x:c r="C40" s="382" t="str">
        <x:v>자주 있다</x:v>
      </x:c>
      <x:c r="D40" s="383" t="n">
        <x:f>COUNTIF('04_원본응답'!$H$2:$H$101,"자주 있다")</x:f>
        <x:v>28</x:v>
      </x:c>
      <x:c r="E40" s="384" t="n">
        <x:f>COUNTIF('04_원본응답'!$H$2:$H$101,"자주 있다")/COUNTA('04_원본응답'!$H$2:$H$101)</x:f>
        <x:v>0.28</x:v>
      </x:c>
      <x:c r="F40" s="383" t="n">
        <x:f>COUNTA('04_원본응답'!$H$2:$H$101)</x:f>
        <x:v>100</x:v>
      </x:c>
      <x:c r="G40" s="382" t="str">
        <x:v>단일선택</x:v>
      </x:c>
    </x:row>
    <x:row r="41" ht="34" customHeight="1">
      <x:c r="A41" s="381" t="str">
        <x:v>B. 혜택 인지</x:v>
      </x:c>
      <x:c r="B41" s="382" t="str">
        <x:v>여러 앱·웹사이트 탐색 경험</x:v>
      </x:c>
      <x:c r="C41" s="382" t="str">
        <x:v>전혀 없다</x:v>
      </x:c>
      <x:c r="D41" s="383" t="n">
        <x:f>COUNTIF('04_원본응답'!$I$2:$I$101,"전혀 없다")</x:f>
        <x:v>9</x:v>
      </x:c>
      <x:c r="E41" s="384" t="n">
        <x:f>COUNTIF('04_원본응답'!$I$2:$I$101,"전혀 없다")/COUNTA('04_원본응답'!$I$2:$I$101)</x:f>
        <x:v>0.09</x:v>
      </x:c>
      <x:c r="F41" s="383" t="n">
        <x:f>COUNTA('04_원본응답'!$I$2:$I$101)</x:f>
        <x:v>100</x:v>
      </x:c>
      <x:c r="G41" s="382" t="str">
        <x:v>단일선택</x:v>
      </x:c>
    </x:row>
    <x:row r="42" ht="34" customHeight="1">
      <x:c r="A42" s="381" t="str">
        <x:v>B. 혜택 인지</x:v>
      </x:c>
      <x:c r="B42" s="382" t="str">
        <x:v>여러 앱·웹사이트 탐색 경험</x:v>
      </x:c>
      <x:c r="C42" s="382" t="str">
        <x:v>거의 없다</x:v>
      </x:c>
      <x:c r="D42" s="383" t="n">
        <x:f>COUNTIF('04_원본응답'!$I$2:$I$101,"거의 없다")</x:f>
        <x:v>23</x:v>
      </x:c>
      <x:c r="E42" s="384" t="n">
        <x:f>COUNTIF('04_원본응답'!$I$2:$I$101,"거의 없다")/COUNTA('04_원본응답'!$I$2:$I$101)</x:f>
        <x:v>0.23</x:v>
      </x:c>
      <x:c r="F42" s="383" t="n">
        <x:f>COUNTA('04_원본응답'!$I$2:$I$101)</x:f>
        <x:v>100</x:v>
      </x:c>
      <x:c r="G42" s="382" t="str">
        <x:v>단일선택</x:v>
      </x:c>
    </x:row>
    <x:row r="43" ht="34" customHeight="1">
      <x:c r="A43" s="381" t="str">
        <x:v>B. 혜택 인지</x:v>
      </x:c>
      <x:c r="B43" s="382" t="str">
        <x:v>여러 앱·웹사이트 탐색 경험</x:v>
      </x:c>
      <x:c r="C43" s="382" t="str">
        <x:v>가끔 있다</x:v>
      </x:c>
      <x:c r="D43" s="383" t="n">
        <x:f>COUNTIF('04_원본응답'!$I$2:$I$101,"가끔 있다")</x:f>
        <x:v>50</x:v>
      </x:c>
      <x:c r="E43" s="384" t="n">
        <x:f>COUNTIF('04_원본응답'!$I$2:$I$101,"가끔 있다")/COUNTA('04_원본응답'!$I$2:$I$101)</x:f>
        <x:v>0.5</x:v>
      </x:c>
      <x:c r="F43" s="383" t="n">
        <x:f>COUNTA('04_원본응답'!$I$2:$I$101)</x:f>
        <x:v>100</x:v>
      </x:c>
      <x:c r="G43" s="382" t="str">
        <x:v>단일선택</x:v>
      </x:c>
    </x:row>
    <x:row r="44" ht="34" customHeight="1">
      <x:c r="A44" s="381" t="str">
        <x:v>B. 혜택 인지</x:v>
      </x:c>
      <x:c r="B44" s="382" t="str">
        <x:v>여러 앱·웹사이트 탐색 경험</x:v>
      </x:c>
      <x:c r="C44" s="382" t="str">
        <x:v>자주있다</x:v>
      </x:c>
      <x:c r="D44" s="383" t="n">
        <x:f>COUNTIF('04_원본응답'!$I$2:$I$101,"자주있다")</x:f>
        <x:v>18</x:v>
      </x:c>
      <x:c r="E44" s="384" t="n">
        <x:f>COUNTIF('04_원본응답'!$I$2:$I$101,"자주있다")/COUNTA('04_원본응답'!$I$2:$I$101)</x:f>
        <x:v>0.18</x:v>
      </x:c>
      <x:c r="F44" s="383" t="n">
        <x:f>COUNTA('04_원본응답'!$I$2:$I$101)</x:f>
        <x:v>100</x:v>
      </x:c>
      <x:c r="G44" s="382" t="str">
        <x:v>단일선택</x:v>
      </x:c>
    </x:row>
    <x:row r="45" ht="34" customHeight="1">
      <x:c r="A45" s="381" t="str">
        <x:v>B. 혜택 인지</x:v>
      </x:c>
      <x:c r="B45" s="382" t="str">
        <x:v>확인 과정 번거로움 (1~5)</x:v>
      </x:c>
      <x:c r="C45" s="382" t="str">
        <x:v>1</x:v>
      </x:c>
      <x:c r="D45" s="383" t="n">
        <x:f>COUNTIF('04_원본응답'!$J$2:$J$101,"1")</x:f>
        <x:v>6</x:v>
      </x:c>
      <x:c r="E45" s="384" t="n">
        <x:f>COUNTIF('04_원본응답'!$J$2:$J$101,"1")/COUNTA('04_원본응답'!$J$2:$J$101)</x:f>
        <x:v>0.06</x:v>
      </x:c>
      <x:c r="F45" s="383" t="n">
        <x:f>COUNTA('04_원본응답'!$J$2:$J$101)</x:f>
        <x:v>100</x:v>
      </x:c>
      <x:c r="G45" s="382" t="str">
        <x:v>단일선택</x:v>
      </x:c>
    </x:row>
    <x:row r="46" ht="34" customHeight="1">
      <x:c r="A46" s="381" t="str">
        <x:v>B. 혜택 인지</x:v>
      </x:c>
      <x:c r="B46" s="382" t="str">
        <x:v>확인 과정 번거로움 (1~5)</x:v>
      </x:c>
      <x:c r="C46" s="382" t="str">
        <x:v>2</x:v>
      </x:c>
      <x:c r="D46" s="383" t="n">
        <x:f>COUNTIF('04_원본응답'!$J$2:$J$101,"2")</x:f>
        <x:v>5</x:v>
      </x:c>
      <x:c r="E46" s="384" t="n">
        <x:f>COUNTIF('04_원본응답'!$J$2:$J$101,"2")/COUNTA('04_원본응답'!$J$2:$J$101)</x:f>
        <x:v>0.05</x:v>
      </x:c>
      <x:c r="F46" s="383" t="n">
        <x:f>COUNTA('04_원본응답'!$J$2:$J$101)</x:f>
        <x:v>100</x:v>
      </x:c>
      <x:c r="G46" s="382" t="str">
        <x:v>단일선택</x:v>
      </x:c>
    </x:row>
    <x:row r="47" ht="34" customHeight="1">
      <x:c r="A47" s="381" t="str">
        <x:v>B. 혜택 인지</x:v>
      </x:c>
      <x:c r="B47" s="382" t="str">
        <x:v>확인 과정 번거로움 (1~5)</x:v>
      </x:c>
      <x:c r="C47" s="382" t="str">
        <x:v>3</x:v>
      </x:c>
      <x:c r="D47" s="383" t="n">
        <x:f>COUNTIF('04_원본응답'!$J$2:$J$101,"3")</x:f>
        <x:v>6</x:v>
      </x:c>
      <x:c r="E47" s="384" t="n">
        <x:f>COUNTIF('04_원본응답'!$J$2:$J$101,"3")/COUNTA('04_원본응답'!$J$2:$J$101)</x:f>
        <x:v>0.06</x:v>
      </x:c>
      <x:c r="F47" s="383" t="n">
        <x:f>COUNTA('04_원본응답'!$J$2:$J$101)</x:f>
        <x:v>100</x:v>
      </x:c>
      <x:c r="G47" s="382" t="str">
        <x:v>단일선택</x:v>
      </x:c>
    </x:row>
    <x:row r="48" ht="34" customHeight="1">
      <x:c r="A48" s="381" t="str">
        <x:v>B. 혜택 인지</x:v>
      </x:c>
      <x:c r="B48" s="382" t="str">
        <x:v>확인 과정 번거로움 (1~5)</x:v>
      </x:c>
      <x:c r="C48" s="382" t="str">
        <x:v>4</x:v>
      </x:c>
      <x:c r="D48" s="383" t="n">
        <x:f>COUNTIF('04_원본응답'!$J$2:$J$101,"4")</x:f>
        <x:v>34</x:v>
      </x:c>
      <x:c r="E48" s="384" t="n">
        <x:f>COUNTIF('04_원본응답'!$J$2:$J$101,"4")/COUNTA('04_원본응답'!$J$2:$J$101)</x:f>
        <x:v>0.34</x:v>
      </x:c>
      <x:c r="F48" s="383" t="n">
        <x:f>COUNTA('04_원본응답'!$J$2:$J$101)</x:f>
        <x:v>100</x:v>
      </x:c>
      <x:c r="G48" s="382" t="str">
        <x:v>단일선택</x:v>
      </x:c>
    </x:row>
    <x:row r="49" ht="34" customHeight="1">
      <x:c r="A49" s="381" t="str">
        <x:v>B. 혜택 인지</x:v>
      </x:c>
      <x:c r="B49" s="382" t="str">
        <x:v>확인 과정 번거로움 (1~5)</x:v>
      </x:c>
      <x:c r="C49" s="382" t="str">
        <x:v>5</x:v>
      </x:c>
      <x:c r="D49" s="383" t="n">
        <x:f>COUNTIF('04_원본응답'!$J$2:$J$101,"5")</x:f>
        <x:v>49</x:v>
      </x:c>
      <x:c r="E49" s="384" t="n">
        <x:f>COUNTIF('04_원본응답'!$J$2:$J$101,"5")/COUNTA('04_원본응답'!$J$2:$J$101)</x:f>
        <x:v>0.49</x:v>
      </x:c>
      <x:c r="F49" s="383" t="n">
        <x:f>COUNTA('04_원본응답'!$J$2:$J$101)</x:f>
        <x:v>100</x:v>
      </x:c>
      <x:c r="G49" s="382" t="str">
        <x:v>단일선택</x:v>
      </x:c>
    </x:row>
    <x:row r="50" ht="34" customHeight="1">
      <x:c r="A50" s="381" t="str">
        <x:v>C. 결제·갱신</x:v>
      </x:c>
      <x:c r="B50" s="382" t="str">
        <x:v>결제·갱신·만료일 인지</x:v>
      </x:c>
      <x:c r="C50" s="382" t="str">
        <x:v>정확히 알고 있다</x:v>
      </x:c>
      <x:c r="D50" s="383" t="n">
        <x:f>COUNTIF('04_원본응답'!$L$2:$L$101,"정확히 알고 있다")</x:f>
        <x:v>15</x:v>
      </x:c>
      <x:c r="E50" s="384" t="n">
        <x:f>COUNTIF('04_원본응답'!$L$2:$L$101,"정확히 알고 있다")/COUNTA('04_원본응답'!$L$2:$L$101)</x:f>
        <x:v>0.15</x:v>
      </x:c>
      <x:c r="F50" s="383" t="n">
        <x:f>COUNTA('04_원본응답'!$L$2:$L$101)</x:f>
        <x:v>100</x:v>
      </x:c>
      <x:c r="G50" s="382" t="str">
        <x:v>단일선택</x:v>
      </x:c>
    </x:row>
    <x:row r="51" ht="34" customHeight="1">
      <x:c r="A51" s="381" t="str">
        <x:v>C. 결제·갱신</x:v>
      </x:c>
      <x:c r="B51" s="382" t="str">
        <x:v>결제·갱신·만료일 인지</x:v>
      </x:c>
      <x:c r="C51" s="382" t="str">
        <x:v>일부만 알고 있다</x:v>
      </x:c>
      <x:c r="D51" s="383" t="n">
        <x:f>COUNTIF('04_원본응답'!$L$2:$L$101,"일부만 알고 있다")</x:f>
        <x:v>59</x:v>
      </x:c>
      <x:c r="E51" s="384" t="n">
        <x:f>COUNTIF('04_원본응답'!$L$2:$L$101,"일부만 알고 있다")/COUNTA('04_원본응답'!$L$2:$L$101)</x:f>
        <x:v>0.59</x:v>
      </x:c>
      <x:c r="F51" s="383" t="n">
        <x:f>COUNTA('04_원본응답'!$L$2:$L$101)</x:f>
        <x:v>100</x:v>
      </x:c>
      <x:c r="G51" s="382" t="str">
        <x:v>단일선택</x:v>
      </x:c>
    </x:row>
    <x:row r="52" ht="34" customHeight="1">
      <x:c r="A52" s="381" t="str">
        <x:v>C. 결제·갱신</x:v>
      </x:c>
      <x:c r="B52" s="382" t="str">
        <x:v>결제·갱신·만료일 인지</x:v>
      </x:c>
      <x:c r="C52" s="382" t="str">
        <x:v>모른다</x:v>
      </x:c>
      <x:c r="D52" s="383" t="n">
        <x:f>COUNTIF('04_원본응답'!$L$2:$L$101,"모른다")</x:f>
        <x:v>26</x:v>
      </x:c>
      <x:c r="E52" s="384" t="n">
        <x:f>COUNTIF('04_원본응답'!$L$2:$L$101,"모른다")/COUNTA('04_원본응답'!$L$2:$L$101)</x:f>
        <x:v>0.26</x:v>
      </x:c>
      <x:c r="F52" s="383" t="n">
        <x:f>COUNTA('04_원본응답'!$L$2:$L$101)</x:f>
        <x:v>100</x:v>
      </x:c>
      <x:c r="G52" s="382" t="str">
        <x:v>단일선택</x:v>
      </x:c>
    </x:row>
    <x:row r="53" ht="34" customHeight="1">
      <x:c r="A53" s="381" t="str">
        <x:v>C. 결제·갱신</x:v>
      </x:c>
      <x:c r="B53" s="382" t="str">
        <x:v>현재 관리 방법</x:v>
      </x:c>
      <x:c r="C53" s="382" t="str">
        <x:v>따로 관리하지 않음</x:v>
      </x:c>
      <x:c r="D53" s="383" t="n">
        <x:f>SUM('06_집계도우미'!$C$67,'06_집계도우미'!$C$70,'06_집계도우미'!$C$71,'06_집계도우미'!$C$86,'06_집계도우미'!$C$87,'06_집계도우미'!$C$96,'06_집계도우미'!$C$98)</x:f>
        <x:v>36</x:v>
      </x:c>
      <x:c r="E53" s="384" t="n">
        <x:f>SUM('06_집계도우미'!$C$67,'06_집계도우미'!$C$70,'06_집계도우미'!$C$71,'06_집계도우미'!$C$86,'06_집계도우미'!$C$87,'06_집계도우미'!$C$96,'06_집계도우미'!$C$98)/COUNTA('04_원본응답'!$M$2:$M$101)</x:f>
        <x:v>0.36</x:v>
      </x:c>
      <x:c r="F53" s="383" t="n">
        <x:f>COUNTA('04_원본응답'!$M$2:$M$101)</x:f>
        <x:v>100</x:v>
      </x:c>
      <x:c r="G53" s="382" t="str">
        <x:v>복수선택 · 응답자 기준</x:v>
      </x:c>
    </x:row>
    <x:row r="54" ht="34" customHeight="1">
      <x:c r="A54" s="381" t="str">
        <x:v>C. 결제·갱신</x:v>
      </x:c>
      <x:c r="B54" s="382" t="str">
        <x:v>현재 관리 방법</x:v>
      </x:c>
      <x:c r="C54" s="382" t="str">
        <x:v>기억에 의존</x:v>
      </x:c>
      <x:c r="D54" s="383" t="n">
        <x:f>SUM('06_집계도우미'!$C$66,'06_집계도우미'!$C$68,'06_집계도우미'!$C$69,'06_집계도우미'!$C$73,'06_집계도우미'!$C$75,'06_집계도우미'!$C$77,'06_집계도우미'!$C$83,'06_집계도우미'!$C$86,'06_집계도우미'!$C$90,'06_집계도우미'!$C$91,'06_집계도우미'!$C$95,'06_집계도우미'!$C$96,'06_집계도우미'!$C$97,'06_집계도우미'!$C$98)</x:f>
        <x:v>23</x:v>
      </x:c>
      <x:c r="E54" s="384" t="n">
        <x:f>SUM('06_집계도우미'!$C$66,'06_집계도우미'!$C$68,'06_집계도우미'!$C$69,'06_집계도우미'!$C$73,'06_집계도우미'!$C$75,'06_집계도우미'!$C$77,'06_집계도우미'!$C$83,'06_집계도우미'!$C$86,'06_집계도우미'!$C$90,'06_집계도우미'!$C$91,'06_집계도우미'!$C$95,'06_집계도우미'!$C$96,'06_집계도우미'!$C$97,'06_집계도우미'!$C$98)/COUNTA('04_원본응답'!$M$2:$M$101)</x:f>
        <x:v>0.23</x:v>
      </x:c>
      <x:c r="F54" s="383" t="n">
        <x:f>COUNTA('04_원본응답'!$M$2:$M$101)</x:f>
        <x:v>100</x:v>
      </x:c>
      <x:c r="G54" s="382" t="str">
        <x:v>복수선택 · 응답자 기준</x:v>
      </x:c>
    </x:row>
    <x:row r="55" ht="34" customHeight="1">
      <x:c r="A55" s="381" t="str">
        <x:v>C. 결제·갱신</x:v>
      </x:c>
      <x:c r="B55" s="382" t="str">
        <x:v>현재 관리 방법</x:v>
      </x:c>
      <x:c r="C55" s="382" t="str">
        <x:v>결제 문자·푸시 알림</x:v>
      </x:c>
      <x:c r="D55" s="383" t="n">
        <x:f>SUM('06_집계도우미'!$C$66,'06_집계도우미'!$C$67,'06_집계도우미'!$C$68,'06_집계도우미'!$C$71,'06_집계도우미'!$C$72,'06_집계도우미'!$C$74,'06_집계도우미'!$C$78,'06_집계도우미'!$C$80,'06_집계도우미'!$C$82,'06_집계도우미'!$C$83,'06_집계도우미'!$C$86,'06_집계도우미'!$C$88,'06_집계도우미'!$C$90,'06_집계도우미'!$C$93,'06_집계도우미'!$C$95,'06_집계도우미'!$C$96,'06_집계도우미'!$C$99)</x:f>
        <x:v>50</x:v>
      </x:c>
      <x:c r="E55" s="384" t="n">
        <x:f>SUM('06_집계도우미'!$C$66,'06_집계도우미'!$C$67,'06_집계도우미'!$C$68,'06_집계도우미'!$C$71,'06_집계도우미'!$C$72,'06_집계도우미'!$C$74,'06_집계도우미'!$C$78,'06_집계도우미'!$C$80,'06_집계도우미'!$C$82,'06_집계도우미'!$C$83,'06_집계도우미'!$C$86,'06_집계도우미'!$C$88,'06_집계도우미'!$C$90,'06_집계도우미'!$C$93,'06_집계도우미'!$C$95,'06_집계도우미'!$C$96,'06_집계도우미'!$C$99)/COUNTA('04_원본응답'!$M$2:$M$101)</x:f>
        <x:v>0.5</x:v>
      </x:c>
      <x:c r="F55" s="383" t="n">
        <x:f>COUNTA('04_원본응답'!$M$2:$M$101)</x:f>
        <x:v>100</x:v>
      </x:c>
      <x:c r="G55" s="382" t="str">
        <x:v>복수선택 · 응답자 기준</x:v>
      </x:c>
    </x:row>
    <x:row r="56" ht="34" customHeight="1">
      <x:c r="A56" s="381" t="str">
        <x:v>C. 결제·갱신</x:v>
      </x:c>
      <x:c r="B56" s="382" t="str">
        <x:v>현재 관리 방법</x:v>
      </x:c>
      <x:c r="C56" s="382" t="str">
        <x:v>각 서비스 앱 확인</x:v>
      </x:c>
      <x:c r="D56" s="383" t="n">
        <x:f>SUM('06_집계도우미'!$C$68,'06_집계도우미'!$C$72,'06_집계도우미'!$C$74,'06_집계도우미'!$C$77,'06_집계도우미'!$C$85,'06_집계도우미'!$C$87,'06_집계도우미'!$C$90,'06_집계도우미'!$C$91,'06_집계도우미'!$C$92,'06_집계도우미'!$C$96)</x:f>
        <x:v>17</x:v>
      </x:c>
      <x:c r="E56" s="384" t="n">
        <x:f>SUM('06_집계도우미'!$C$68,'06_집계도우미'!$C$72,'06_집계도우미'!$C$74,'06_집계도우미'!$C$77,'06_집계도우미'!$C$85,'06_집계도우미'!$C$87,'06_집계도우미'!$C$90,'06_집계도우미'!$C$91,'06_집계도우미'!$C$92,'06_집계도우미'!$C$96)/COUNTA('04_원본응답'!$M$2:$M$101)</x:f>
        <x:v>0.17</x:v>
      </x:c>
      <x:c r="F56" s="383" t="n">
        <x:f>COUNTA('04_원본응답'!$M$2:$M$101)</x:f>
        <x:v>100</x:v>
      </x:c>
      <x:c r="G56" s="382" t="str">
        <x:v>복수선택 · 응답자 기준</x:v>
      </x:c>
    </x:row>
    <x:row r="57" ht="34" customHeight="1">
      <x:c r="A57" s="381" t="str">
        <x:v>C. 결제·갱신</x:v>
      </x:c>
      <x:c r="B57" s="382" t="str">
        <x:v>현재 관리 방법</x:v>
      </x:c>
      <x:c r="C57" s="382" t="str">
        <x:v>카드·은행 앱 확인</x:v>
      </x:c>
      <x:c r="D57" s="383" t="n">
        <x:f>SUM('06_집계도우미'!$C$67,'06_집계도우미'!$C$68,'06_집계도우미'!$C$76,'06_집계도우미'!$C$91,'06_집계도우미'!$C$92,'06_집계도우미'!$C$93,'06_집계도우미'!$C$97,'06_집계도우미'!$C$99)</x:f>
        <x:v>12</x:v>
      </x:c>
      <x:c r="E57" s="384" t="n">
        <x:f>SUM('06_집계도우미'!$C$67,'06_집계도우미'!$C$68,'06_집계도우미'!$C$76,'06_집계도우미'!$C$91,'06_집계도우미'!$C$92,'06_집계도우미'!$C$93,'06_집계도우미'!$C$97,'06_집계도우미'!$C$99)/COUNTA('04_원본응답'!$M$2:$M$101)</x:f>
        <x:v>0.12</x:v>
      </x:c>
      <x:c r="F57" s="383" t="n">
        <x:f>COUNTA('04_원본응답'!$M$2:$M$101)</x:f>
        <x:v>100</x:v>
      </x:c>
      <x:c r="G57" s="382" t="str">
        <x:v>복수선택 · 응답자 기준</x:v>
      </x:c>
    </x:row>
    <x:row r="58" ht="34" customHeight="1">
      <x:c r="A58" s="381" t="str">
        <x:v>C. 결제·갱신</x:v>
      </x:c>
      <x:c r="B58" s="382" t="str">
        <x:v>현재 관리 방법</x:v>
      </x:c>
      <x:c r="C58" s="382" t="str">
        <x:v>캘린더</x:v>
      </x:c>
      <x:c r="D58" s="383" t="n">
        <x:f>SUM('06_집계도우미'!$C$73,'06_집계도우미'!$C$74,'06_집계도우미'!$C$78,'06_집계도우미'!$C$79,'06_집계도우미'!$C$89,'06_집계도우미'!$C$92,'06_집계도우미'!$C$94,'06_집계도우미'!$C$95)</x:f>
        <x:v>15</x:v>
      </x:c>
      <x:c r="E58" s="384" t="n">
        <x:f>SUM('06_집계도우미'!$C$73,'06_집계도우미'!$C$74,'06_집계도우미'!$C$78,'06_집계도우미'!$C$79,'06_집계도우미'!$C$89,'06_집계도우미'!$C$92,'06_집계도우미'!$C$94,'06_집계도우미'!$C$95)/COUNTA('04_원본응답'!$M$2:$M$101)</x:f>
        <x:v>0.15</x:v>
      </x:c>
      <x:c r="F58" s="383" t="n">
        <x:f>COUNTA('04_원본응답'!$M$2:$M$101)</x:f>
        <x:v>100</x:v>
      </x:c>
      <x:c r="G58" s="382" t="str">
        <x:v>복수선택 · 응답자 기준</x:v>
      </x:c>
    </x:row>
    <x:row r="59" ht="34" customHeight="1">
      <x:c r="A59" s="381" t="str">
        <x:v>C. 결제·갱신</x:v>
      </x:c>
      <x:c r="B59" s="382" t="str">
        <x:v>현재 관리 방법</x:v>
      </x:c>
      <x:c r="C59" s="382" t="str">
        <x:v>메모·노션·엑셀</x:v>
      </x:c>
      <x:c r="D59" s="383" t="n">
        <x:f>SUM('06_집계도우미'!$C$69,'06_집계도우미'!$C$74,'06_집계도우미'!$C$84,'06_집계도우미'!$C$89,'06_집계도우미'!$C$99)</x:f>
        <x:v>7</x:v>
      </x:c>
      <x:c r="E59" s="384" t="n">
        <x:f>SUM('06_집계도우미'!$C$69,'06_집계도우미'!$C$74,'06_집계도우미'!$C$84,'06_집계도우미'!$C$89,'06_집계도우미'!$C$99)/COUNTA('04_원본응답'!$M$2:$M$101)</x:f>
        <x:v>0.07</x:v>
      </x:c>
      <x:c r="F59" s="383" t="n">
        <x:f>COUNTA('04_원본응답'!$M$2:$M$101)</x:f>
        <x:v>100</x:v>
      </x:c>
      <x:c r="G59" s="382" t="str">
        <x:v>복수선택 · 응답자 기준</x:v>
      </x:c>
    </x:row>
    <x:row r="60" ht="34" customHeight="1">
      <x:c r="A60" s="381" t="str">
        <x:v>C. 결제·갱신</x:v>
      </x:c>
      <x:c r="B60" s="382" t="str">
        <x:v>현재 관리 방법</x:v>
      </x:c>
      <x:c r="C60" s="382" t="str">
        <x:v>가족·친구가 관리</x:v>
      </x:c>
      <x:c r="D60" s="383" t="n">
        <x:f>SUM('06_집계도우미'!$C$82,'06_집계도우미'!$C$83)</x:f>
        <x:v>2</x:v>
      </x:c>
      <x:c r="E60" s="384" t="n">
        <x:f>SUM('06_집계도우미'!$C$82,'06_집계도우미'!$C$83)/COUNTA('04_원본응답'!$M$2:$M$101)</x:f>
        <x:v>0.02</x:v>
      </x:c>
      <x:c r="F60" s="383" t="n">
        <x:f>COUNTA('04_원본응답'!$M$2:$M$101)</x:f>
        <x:v>100</x:v>
      </x:c>
      <x:c r="G60" s="382" t="str">
        <x:v>복수선택 · 응답자 기준</x:v>
      </x:c>
    </x:row>
    <x:row r="61" ht="34" customHeight="1">
      <x:c r="A61" s="381" t="str">
        <x:v>C. 결제·갱신</x:v>
      </x:c>
      <x:c r="B61" s="382" t="str">
        <x:v>놓치거나 뒤늦게 안 시점</x:v>
      </x:c>
      <x:c r="C61" s="382" t="str">
        <x:v>경험 없음</x:v>
      </x:c>
      <x:c r="D61" s="383" t="n">
        <x:f>'06_집계도우미'!$C$109</x:f>
        <x:v>20</x:v>
      </x:c>
      <x:c r="E61" s="384" t="n">
        <x:f>'06_집계도우미'!$C$109/COUNTA('04_원본응답'!$N$2:$N$101)</x:f>
        <x:v>0.2</x:v>
      </x:c>
      <x:c r="F61" s="383" t="n">
        <x:f>COUNTA('04_원본응답'!$N$2:$N$101)</x:f>
        <x:v>100</x:v>
      </x:c>
      <x:c r="G61" s="382" t="str">
        <x:v>복수선택 · 응답자 기준</x:v>
      </x:c>
    </x:row>
    <x:row r="62" ht="34" customHeight="1">
      <x:c r="A62" s="381" t="str">
        <x:v>C. 결제·갱신</x:v>
      </x:c>
      <x:c r="B62" s="382" t="str">
        <x:v>놓치거나 뒤늦게 안 시점</x:v>
      </x:c>
      <x:c r="C62" s="382" t="str">
        <x:v>무료체험 종료일</x:v>
      </x:c>
      <x:c r="D62" s="383" t="n">
        <x:f>SUM('06_집계도우미'!$C$100,'06_집계도우미'!$C$101,'06_집계도우미'!$C$103,'06_집계도우미'!$C$104,'06_집계도우미'!$C$106,'06_집계도우미'!$C$110,'06_집계도우미'!$C$112,'06_집계도우미'!$C$114,'06_집계도우미'!$C$116,'06_집계도우미'!$C$118,'06_집계도우미'!$C$119,'06_집계도우미'!$C$121,'06_집계도우미'!$C$124,'06_집계도우미'!$C$127)</x:f>
        <x:v>44</x:v>
      </x:c>
      <x:c r="E62" s="384" t="n">
        <x:f>SUM('06_집계도우미'!$C$100,'06_집계도우미'!$C$101,'06_집계도우미'!$C$103,'06_집계도우미'!$C$104,'06_집계도우미'!$C$106,'06_집계도우미'!$C$110,'06_집계도우미'!$C$112,'06_집계도우미'!$C$114,'06_집계도우미'!$C$116,'06_집계도우미'!$C$118,'06_집계도우미'!$C$119,'06_집계도우미'!$C$121,'06_집계도우미'!$C$124,'06_집계도우미'!$C$127)/COUNTA('04_원본응답'!$N$2:$N$101)</x:f>
        <x:v>0.44</x:v>
      </x:c>
      <x:c r="F62" s="383" t="n">
        <x:f>COUNTA('04_원본응답'!$N$2:$N$101)</x:f>
        <x:v>100</x:v>
      </x:c>
      <x:c r="G62" s="382" t="str">
        <x:v>복수선택 · 응답자 기준</x:v>
      </x:c>
    </x:row>
    <x:row r="63" ht="34" customHeight="1">
      <x:c r="A63" s="381" t="str">
        <x:v>C. 결제·갱신</x:v>
      </x:c>
      <x:c r="B63" s="382" t="str">
        <x:v>놓치거나 뒤늦게 안 시점</x:v>
      </x:c>
      <x:c r="C63" s="382" t="str">
        <x:v>자동 갱신일</x:v>
      </x:c>
      <x:c r="D63" s="383" t="n">
        <x:f>SUM('06_집계도우미'!$C$100,'06_집계도우미'!$C$102,'06_집계도우미'!$C$103,'06_집계도우미'!$C$104,'06_집계도우미'!$C$106,'06_집계도우미'!$C$111,'06_집계도우미'!$C$113,'06_집계도우미'!$C$116,'06_집계도우미'!$C$117,'06_집계도우미'!$C$118,'06_집계도우미'!$C$119,'06_집계도우미'!$C$121,'06_집계도우미'!$C$122,'06_집계도우미'!$C$126,'06_집계도우미'!$C$127)</x:f>
        <x:v>39</x:v>
      </x:c>
      <x:c r="E63" s="384" t="n">
        <x:f>SUM('06_집계도우미'!$C$100,'06_집계도우미'!$C$102,'06_집계도우미'!$C$103,'06_집계도우미'!$C$104,'06_집계도우미'!$C$106,'06_집계도우미'!$C$111,'06_집계도우미'!$C$113,'06_집계도우미'!$C$116,'06_집계도우미'!$C$117,'06_집계도우미'!$C$118,'06_집계도우미'!$C$119,'06_집계도우미'!$C$121,'06_집계도우미'!$C$122,'06_집계도우미'!$C$126,'06_집계도우미'!$C$127)/COUNTA('04_원본응답'!$N$2:$N$101)</x:f>
        <x:v>0.39</x:v>
      </x:c>
      <x:c r="F63" s="383" t="n">
        <x:f>COUNTA('04_원본응답'!$N$2:$N$101)</x:f>
        <x:v>100</x:v>
      </x:c>
      <x:c r="G63" s="382" t="str">
        <x:v>복수선택 · 응답자 기준</x:v>
      </x:c>
    </x:row>
    <x:row r="64" ht="34" customHeight="1">
      <x:c r="A64" s="381" t="str">
        <x:v>C. 결제·갱신</x:v>
      </x:c>
      <x:c r="B64" s="382" t="str">
        <x:v>놓치거나 뒤늦게 안 시점</x:v>
      </x:c>
      <x:c r="C64" s="382" t="str">
        <x:v>가격 인상 적용일</x:v>
      </x:c>
      <x:c r="D64" s="383" t="n">
        <x:f>SUM('06_집계도우미'!$C$100,'06_집계도우미'!$C$105,'06_집계도우미'!$C$115,'06_집계도우미'!$C$116,'06_집계도우미'!$C$118,'06_집계도우미'!$C$122,'06_집계도우미'!$C$123,'06_집계도우미'!$C$127)</x:f>
        <x:v>16</x:v>
      </x:c>
      <x:c r="E64" s="384" t="n">
        <x:f>SUM('06_집계도우미'!$C$100,'06_집계도우미'!$C$105,'06_집계도우미'!$C$115,'06_집계도우미'!$C$116,'06_집계도우미'!$C$118,'06_집계도우미'!$C$122,'06_집계도우미'!$C$123,'06_집계도우미'!$C$127)/COUNTA('04_원본응답'!$N$2:$N$101)</x:f>
        <x:v>0.16</x:v>
      </x:c>
      <x:c r="F64" s="383" t="n">
        <x:f>COUNTA('04_원본응답'!$N$2:$N$101)</x:f>
        <x:v>100</x:v>
      </x:c>
      <x:c r="G64" s="382" t="str">
        <x:v>복수선택 · 응답자 기준</x:v>
      </x:c>
    </x:row>
    <x:row r="65" ht="34" customHeight="1">
      <x:c r="A65" s="381" t="str">
        <x:v>C. 결제·갱신</x:v>
      </x:c>
      <x:c r="B65" s="382" t="str">
        <x:v>놓치거나 뒤늦게 안 시점</x:v>
      </x:c>
      <x:c r="C65" s="382" t="str">
        <x:v>할인 종료일</x:v>
      </x:c>
      <x:c r="D65" s="383" t="n">
        <x:f>SUM('06_집계도우미'!$C$100,'06_집계도우미'!$C$107,'06_집계도우미'!$C$113,'06_집계도우미'!$C$114,'06_집계도우미'!$C$115,'06_집계도우미'!$C$116,'06_집계도우미'!$C$117,'06_집계도우미'!$C$118,'06_집계도우미'!$C$119,'06_집계도우미'!$C$121,'06_집계도우미'!$C$124,'06_집계도우미'!$C$126)</x:f>
        <x:v>22</x:v>
      </x:c>
      <x:c r="E65" s="384" t="n">
        <x:f>SUM('06_집계도우미'!$C$100,'06_집계도우미'!$C$107,'06_집계도우미'!$C$113,'06_집계도우미'!$C$114,'06_집계도우미'!$C$115,'06_집계도우미'!$C$116,'06_집계도우미'!$C$117,'06_집계도우미'!$C$118,'06_집계도우미'!$C$119,'06_집계도우미'!$C$121,'06_집계도우미'!$C$124,'06_집계도우미'!$C$126)/COUNTA('04_원본응답'!$N$2:$N$101)</x:f>
        <x:v>0.22</x:v>
      </x:c>
      <x:c r="F65" s="383" t="n">
        <x:f>COUNTA('04_원본응답'!$N$2:$N$101)</x:f>
        <x:v>100</x:v>
      </x:c>
      <x:c r="G65" s="382" t="str">
        <x:v>복수선택 · 응답자 기준</x:v>
      </x:c>
    </x:row>
    <x:row r="66" ht="34" customHeight="1">
      <x:c r="A66" s="381" t="str">
        <x:v>C. 결제·갱신</x:v>
      </x:c>
      <x:c r="B66" s="382" t="str">
        <x:v>놓치거나 뒤늦게 안 시점</x:v>
      </x:c>
      <x:c r="C66" s="382" t="str">
        <x:v>일시정지한 구독의 재개 시점</x:v>
      </x:c>
      <x:c r="D66" s="383" t="n">
        <x:f>SUM('06_집계도우미'!$C$103,'06_집계도우미'!$C$108,'06_집계도우미'!$C$111,'06_집계도우미'!$C$112,'06_집계도우미'!$C$116,'06_집계도우미'!$C$123,'06_집계도우미'!$C$126)</x:f>
        <x:v>9</x:v>
      </x:c>
      <x:c r="E66" s="384" t="n">
        <x:f>SUM('06_집계도우미'!$C$103,'06_집계도우미'!$C$108,'06_집계도우미'!$C$111,'06_집계도우미'!$C$112,'06_집계도우미'!$C$116,'06_집계도우미'!$C$123,'06_집계도우미'!$C$126)/COUNTA('04_원본응답'!$N$2:$N$101)</x:f>
        <x:v>0.09</x:v>
      </x:c>
      <x:c r="F66" s="383" t="n">
        <x:f>COUNTA('04_원본응답'!$N$2:$N$101)</x:f>
        <x:v>100</x:v>
      </x:c>
      <x:c r="G66" s="382" t="str">
        <x:v>복수선택 · 응답자 기준</x:v>
      </x:c>
    </x:row>
    <x:row r="67" ht="34" customHeight="1">
      <x:c r="A67" s="381" t="str">
        <x:v>C. 결제·갱신</x:v>
      </x:c>
      <x:c r="B67" s="382" t="str">
        <x:v>놓치거나 뒤늦게 안 시점</x:v>
      </x:c>
      <x:c r="C67" s="382" t="str">
        <x:v>통신·인터넷 약정 종료일</x:v>
      </x:c>
      <x:c r="D67" s="383" t="n">
        <x:f>SUM('06_집계도우미'!$C$100,'06_집계도우미'!$C$106,'06_집계도우미'!$C$108,'06_집계도우미'!$C$110,'06_집계도우미'!$C$112,'06_집계도우미'!$C$117,'06_집계도우미'!$C$119,'06_집계도우미'!$C$120,'06_집계도우미'!$C$124,'06_집계도우미'!$C$125)</x:f>
        <x:v>19</x:v>
      </x:c>
      <x:c r="E67" s="384" t="n">
        <x:f>SUM('06_집계도우미'!$C$100,'06_집계도우미'!$C$106,'06_집계도우미'!$C$108,'06_집계도우미'!$C$110,'06_집계도우미'!$C$112,'06_집계도우미'!$C$117,'06_집계도우미'!$C$119,'06_집계도우미'!$C$120,'06_집계도우미'!$C$124,'06_집계도우미'!$C$125)/COUNTA('04_원본응답'!$N$2:$N$101)</x:f>
        <x:v>0.19</x:v>
      </x:c>
      <x:c r="F67" s="383" t="n">
        <x:f>COUNTA('04_원본응답'!$N$2:$N$101)</x:f>
        <x:v>100</x:v>
      </x:c>
      <x:c r="G67" s="382" t="str">
        <x:v>복수선택 · 응답자 기준</x:v>
      </x:c>
    </x:row>
    <x:row r="68" ht="34" customHeight="1">
      <x:c r="A68" s="381" t="str">
        <x:v>C. 결제·갱신</x:v>
      </x:c>
      <x:c r="B68" s="382" t="str">
        <x:v>캘린더 등록 경험</x:v>
      </x:c>
      <x:c r="C68" s="382" t="str">
        <x:v>있다</x:v>
      </x:c>
      <x:c r="D68" s="383" t="n">
        <x:f>COUNTIF('04_원본응답'!$O$2:$O$101,"있다")</x:f>
        <x:v>41</x:v>
      </x:c>
      <x:c r="E68" s="384" t="n">
        <x:f>COUNTIF('04_원본응답'!$O$2:$O$101,"있다")/COUNTA('04_원본응답'!$O$2:$O$101)</x:f>
        <x:v>0.41</x:v>
      </x:c>
      <x:c r="F68" s="383" t="n">
        <x:f>COUNTA('04_원본응답'!$O$2:$O$101)</x:f>
        <x:v>100</x:v>
      </x:c>
      <x:c r="G68" s="382" t="str">
        <x:v>단일선택</x:v>
      </x:c>
    </x:row>
    <x:row r="69" ht="34" customHeight="1">
      <x:c r="A69" s="381" t="str">
        <x:v>C. 결제·갱신</x:v>
      </x:c>
      <x:c r="B69" s="382" t="str">
        <x:v>캘린더 등록 경험</x:v>
      </x:c>
      <x:c r="C69" s="382" t="str">
        <x:v>없다</x:v>
      </x:c>
      <x:c r="D69" s="383" t="n">
        <x:f>COUNTIF('04_원본응답'!$O$2:$O$101,"없다")</x:f>
        <x:v>59</x:v>
      </x:c>
      <x:c r="E69" s="384" t="n">
        <x:f>COUNTIF('04_원본응답'!$O$2:$O$101,"없다")/COUNTA('04_원본응답'!$O$2:$O$101)</x:f>
        <x:v>0.59</x:v>
      </x:c>
      <x:c r="F69" s="383" t="n">
        <x:f>COUNTA('04_원본응답'!$O$2:$O$101)</x:f>
        <x:v>100</x:v>
      </x:c>
      <x:c r="G69" s="382" t="str">
        <x:v>단일선택</x:v>
      </x:c>
    </x:row>
    <x:row r="70" ht="34" customHeight="1">
      <x:c r="A70" s="381" t="str">
        <x:v>C. 결제·갱신</x:v>
      </x:c>
      <x:c r="B70" s="382" t="str">
        <x:v>미등록 이유</x:v>
      </x:c>
      <x:c r="C70" s="382" t="str">
        <x:v>직접 입력하기 귀찮음</x:v>
      </x:c>
      <x:c r="D70" s="383" t="n">
        <x:f>COUNTIF('04_원본응답'!$P$2:$P$101,"직접 입력하기 귀찮음")</x:f>
        <x:v>32</x:v>
      </x:c>
      <x:c r="E70" s="384" t="n">
        <x:f>COUNTIF('04_원본응답'!$P$2:$P$101,"직접 입력하기 귀찮음")/COUNTA('04_원본응답'!$P$2:$P$101)</x:f>
        <x:v>0.5423728813559322</x:v>
      </x:c>
      <x:c r="F70" s="383" t="n">
        <x:f>COUNTA('04_원본응답'!$P$2:$P$101)</x:f>
        <x:v>59</x:v>
      </x:c>
      <x:c r="G70" s="382" t="str">
        <x:v>조건부 응답자 기준</x:v>
      </x:c>
    </x:row>
    <x:row r="71" ht="34" customHeight="1">
      <x:c r="A71" s="381" t="str">
        <x:v>C. 결제·갱신</x:v>
      </x:c>
      <x:c r="B71" s="382" t="str">
        <x:v>미등록 이유</x:v>
      </x:c>
      <x:c r="C71" s="382" t="str">
        <x:v>필요성을 못 느낌</x:v>
      </x:c>
      <x:c r="D71" s="383" t="n">
        <x:f>COUNTIF('04_원본응답'!$P$2:$P$101,"필요성을 못 느낌")</x:f>
        <x:v>13</x:v>
      </x:c>
      <x:c r="E71" s="384" t="n">
        <x:f>COUNTIF('04_원본응답'!$P$2:$P$101,"필요성을 못 느낌")/COUNTA('04_원본응답'!$P$2:$P$101)</x:f>
        <x:v>0.22033898305084745</x:v>
      </x:c>
      <x:c r="F71" s="383" t="n">
        <x:f>COUNTA('04_원본응답'!$P$2:$P$101)</x:f>
        <x:v>59</x:v>
      </x:c>
      <x:c r="G71" s="382" t="str">
        <x:v>조건부 응답자 기준</x:v>
      </x:c>
    </x:row>
    <x:row r="72" ht="34" customHeight="1">
      <x:c r="A72" s="381" t="str">
        <x:v>C. 결제·갱신</x:v>
      </x:c>
      <x:c r="B72" s="382" t="str">
        <x:v>미등록 이유</x:v>
      </x:c>
      <x:c r="C72" s="382" t="str">
        <x:v>어떤 정보를 기록해야 할지 모르겠음</x:v>
      </x:c>
      <x:c r="D72" s="383" t="n">
        <x:f>COUNTIF('04_원본응답'!$P$2:$P$101,"어떤 정보를 기록해야 할지 모르겠음")</x:f>
        <x:v>8</x:v>
      </x:c>
      <x:c r="E72" s="384" t="n">
        <x:f>COUNTIF('04_원본응답'!$P$2:$P$101,"어떤 정보를 기록해야 할지 모르겠음")/COUNTA('04_원본응답'!$P$2:$P$101)</x:f>
        <x:v>0.13559322033898305</x:v>
      </x:c>
      <x:c r="F72" s="383" t="n">
        <x:f>COUNTA('04_원본응답'!$P$2:$P$101)</x:f>
        <x:v>59</x:v>
      </x:c>
      <x:c r="G72" s="382" t="str">
        <x:v>조건부 응답자 기준</x:v>
      </x:c>
    </x:row>
    <x:row r="73" ht="34" customHeight="1">
      <x:c r="A73" s="381" t="str">
        <x:v>C. 결제·갱신</x:v>
      </x:c>
      <x:c r="B73" s="382" t="str">
        <x:v>미등록 이유</x:v>
      </x:c>
      <x:c r="C73" s="382" t="str">
        <x:v>기존 알림으로 충분함</x:v>
      </x:c>
      <x:c r="D73" s="383" t="n">
        <x:f>COUNTIF('04_원본응답'!$P$2:$P$101,"기존 알림으로 충분함")</x:f>
        <x:v>6</x:v>
      </x:c>
      <x:c r="E73" s="384" t="n">
        <x:f>COUNTIF('04_원본응답'!$P$2:$P$101,"기존 알림으로 충분함")/COUNTA('04_원본응답'!$P$2:$P$101)</x:f>
        <x:v>0.1016949152542373</x:v>
      </x:c>
      <x:c r="F73" s="383" t="n">
        <x:f>COUNTA('04_원본응답'!$P$2:$P$101)</x:f>
        <x:v>59</x:v>
      </x:c>
      <x:c r="G73" s="382" t="str">
        <x:v>조건부 응답자 기준</x:v>
      </x:c>
    </x:row>
    <x:row r="74" ht="34" customHeight="1">
      <x:c r="A74" s="381" t="str">
        <x:v>C. 결제·갱신</x:v>
      </x:c>
      <x:c r="B74" s="382" t="str">
        <x:v>등록한 일정</x:v>
      </x:c>
      <x:c r="C74" s="382" t="str">
        <x:v>무료체험 종료일</x:v>
      </x:c>
      <x:c r="D74" s="383" t="n">
        <x:f>COUNTIF('04_원본응답'!$Q$2:$Q$101,"무료체험 종료일")</x:f>
        <x:v>16</x:v>
      </x:c>
      <x:c r="E74" s="384" t="n">
        <x:f>COUNTIF('04_원본응답'!$Q$2:$Q$101,"무료체험 종료일")/COUNTA('04_원본응답'!$Q$2:$Q$101)</x:f>
        <x:v>0.3902439024390244</x:v>
      </x:c>
      <x:c r="F74" s="383" t="n">
        <x:f>COUNTA('04_원본응답'!$Q$2:$Q$101)</x:f>
        <x:v>41</x:v>
      </x:c>
      <x:c r="G74" s="382" t="str">
        <x:v>조건부 응답자 기준</x:v>
      </x:c>
    </x:row>
    <x:row r="75" ht="34" customHeight="1">
      <x:c r="A75" s="381" t="str">
        <x:v>C. 결제·갱신</x:v>
      </x:c>
      <x:c r="B75" s="382" t="str">
        <x:v>등록한 일정</x:v>
      </x:c>
      <x:c r="C75" s="382" t="str">
        <x:v>결제일</x:v>
      </x:c>
      <x:c r="D75" s="383" t="n">
        <x:f>COUNTIF('04_원본응답'!$Q$2:$Q$101,"결제일")</x:f>
        <x:v>11</x:v>
      </x:c>
      <x:c r="E75" s="384" t="n">
        <x:f>COUNTIF('04_원본응답'!$Q$2:$Q$101,"결제일")/COUNTA('04_원본응답'!$Q$2:$Q$101)</x:f>
        <x:v>0.2682926829268293</x:v>
      </x:c>
      <x:c r="F75" s="383" t="n">
        <x:f>COUNTA('04_원본응답'!$Q$2:$Q$101)</x:f>
        <x:v>41</x:v>
      </x:c>
      <x:c r="G75" s="382" t="str">
        <x:v>조건부 응답자 기준</x:v>
      </x:c>
    </x:row>
    <x:row r="76" ht="34" customHeight="1">
      <x:c r="A76" s="381" t="str">
        <x:v>C. 결제·갱신</x:v>
      </x:c>
      <x:c r="B76" s="382" t="str">
        <x:v>등록한 일정</x:v>
      </x:c>
      <x:c r="C76" s="382" t="str">
        <x:v>갱신일</x:v>
      </x:c>
      <x:c r="D76" s="383" t="n">
        <x:f>COUNTIF('04_원본응답'!$Q$2:$Q$101,"갱신일")</x:f>
        <x:v>7</x:v>
      </x:c>
      <x:c r="E76" s="384" t="n">
        <x:f>COUNTIF('04_원본응답'!$Q$2:$Q$101,"갱신일")/COUNTA('04_원본응답'!$Q$2:$Q$101)</x:f>
        <x:v>0.17073170731707318</x:v>
      </x:c>
      <x:c r="F76" s="383" t="n">
        <x:f>COUNTA('04_원본응답'!$Q$2:$Q$101)</x:f>
        <x:v>41</x:v>
      </x:c>
      <x:c r="G76" s="382" t="str">
        <x:v>조건부 응답자 기준</x:v>
      </x:c>
    </x:row>
    <x:row r="77" ht="34" customHeight="1">
      <x:c r="A77" s="381" t="str">
        <x:v>C. 결제·갱신</x:v>
      </x:c>
      <x:c r="B77" s="382" t="str">
        <x:v>등록한 일정</x:v>
      </x:c>
      <x:c r="C77" s="382" t="str">
        <x:v>약정 종료일</x:v>
      </x:c>
      <x:c r="D77" s="383" t="n">
        <x:f>COUNTIF('04_원본응답'!$Q$2:$Q$101,"약정 종료일")</x:f>
        <x:v>3</x:v>
      </x:c>
      <x:c r="E77" s="384" t="n">
        <x:f>COUNTIF('04_원본응답'!$Q$2:$Q$101,"약정 종료일")/COUNTA('04_원본응답'!$Q$2:$Q$101)</x:f>
        <x:v>0.07317073170731707</x:v>
      </x:c>
      <x:c r="F77" s="383" t="n">
        <x:f>COUNTA('04_원본응답'!$Q$2:$Q$101)</x:f>
        <x:v>41</x:v>
      </x:c>
      <x:c r="G77" s="382" t="str">
        <x:v>조건부 응답자 기준</x:v>
      </x:c>
    </x:row>
    <x:row r="78" ht="34" customHeight="1">
      <x:c r="A78" s="381" t="str">
        <x:v>C. 결제·갱신</x:v>
      </x:c>
      <x:c r="B78" s="382" t="str">
        <x:v>등록한 일정</x:v>
      </x:c>
      <x:c r="C78" s="382" t="str">
        <x:v>할인 종료일</x:v>
      </x:c>
      <x:c r="D78" s="383" t="n">
        <x:f>COUNTIF('04_원본응답'!$Q$2:$Q$101,"할인 종료일")</x:f>
        <x:v>2</x:v>
      </x:c>
      <x:c r="E78" s="384" t="n">
        <x:f>COUNTIF('04_원본응답'!$Q$2:$Q$101,"할인 종료일")/COUNTA('04_원본응답'!$Q$2:$Q$101)</x:f>
        <x:v>0.04878048780487805</x:v>
      </x:c>
      <x:c r="F78" s="383" t="n">
        <x:f>COUNTA('04_원본응답'!$Q$2:$Q$101)</x:f>
        <x:v>41</x:v>
      </x:c>
      <x:c r="G78" s="382" t="str">
        <x:v>조건부 응답자 기준</x:v>
      </x:c>
    </x:row>
    <x:row r="79" ht="34" customHeight="1">
      <x:c r="A79" s="381" t="str">
        <x:v>C. 결제·갱신</x:v>
      </x:c>
      <x:c r="B79" s="382" t="str">
        <x:v>등록한 일정</x:v>
      </x:c>
      <x:c r="C79" s="382" t="str">
        <x:v>모두</x:v>
      </x:c>
      <x:c r="D79" s="383" t="n">
        <x:f>COUNTIF('04_원본응답'!$Q$2:$Q$101,"모두")</x:f>
        <x:v>1</x:v>
      </x:c>
      <x:c r="E79" s="384" t="n">
        <x:f>COUNTIF('04_원본응답'!$Q$2:$Q$101,"모두")/COUNTA('04_원본응답'!$Q$2:$Q$101)</x:f>
        <x:v>0.024390243902439025</x:v>
      </x:c>
      <x:c r="F79" s="383" t="n">
        <x:f>COUNTA('04_원본응답'!$Q$2:$Q$101)</x:f>
        <x:v>41</x:v>
      </x:c>
      <x:c r="G79" s="382" t="str">
        <x:v>조건부 응답자 기준</x:v>
      </x:c>
    </x:row>
    <x:row r="80" ht="34" customHeight="1">
      <x:c r="A80" s="381" t="str">
        <x:v>C. 결제·갱신</x:v>
      </x:c>
      <x:c r="B80" s="382" t="str">
        <x:v>등록한 일정</x:v>
      </x:c>
      <x:c r="C80" s="382" t="str">
        <x:v>토스에 구독하고 있는 상품을 등록했어요</x:v>
      </x:c>
      <x:c r="D80" s="383" t="n">
        <x:f>COUNTIF('04_원본응답'!$Q$2:$Q$101,"토스에 구독하고 있는 상품을 등록했어요")</x:f>
        <x:v>1</x:v>
      </x:c>
      <x:c r="E80" s="384" t="n">
        <x:f>COUNTIF('04_원본응답'!$Q$2:$Q$101,"토스에 구독하고 있는 상품을 등록했어요")/COUNTA('04_원본응답'!$Q$2:$Q$101)</x:f>
        <x:v>0.024390243902439025</x:v>
      </x:c>
      <x:c r="F80" s="383" t="n">
        <x:f>COUNTA('04_원본응답'!$Q$2:$Q$101)</x:f>
        <x:v>41</x:v>
      </x:c>
      <x:c r="G80" s="382" t="str">
        <x:v>조건부 응답자 기준</x:v>
      </x:c>
    </x:row>
    <x:row r="81" ht="34" customHeight="1">
      <x:c r="A81" s="381" t="str">
        <x:v>D. 공동 구독</x:v>
      </x:c>
      <x:c r="B81" s="382" t="str">
        <x:v>함께 이용하는 유료 구독 수</x:v>
      </x:c>
      <x:c r="C81" s="382" t="str">
        <x:v>없음</x:v>
      </x:c>
      <x:c r="D81" s="383" t="n">
        <x:f>COUNTIF('04_원본응답'!$R$2:$R$101,"없음")</x:f>
        <x:v>33</x:v>
      </x:c>
      <x:c r="E81" s="384" t="n">
        <x:f>COUNTIF('04_원본응답'!$R$2:$R$101,"없음")/COUNTA('04_원본응답'!$R$2:$R$101)</x:f>
        <x:v>0.33</x:v>
      </x:c>
      <x:c r="F81" s="383" t="n">
        <x:f>COUNTA('04_원본응답'!$R$2:$R$101)</x:f>
        <x:v>100</x:v>
      </x:c>
      <x:c r="G81" s="382" t="str">
        <x:v>단일선택</x:v>
      </x:c>
    </x:row>
    <x:row r="82" ht="34" customHeight="1">
      <x:c r="A82" s="381" t="str">
        <x:v>D. 공동 구독</x:v>
      </x:c>
      <x:c r="B82" s="382" t="str">
        <x:v>함께 이용하는 유료 구독 수</x:v>
      </x:c>
      <x:c r="C82" s="382" t="str">
        <x:v>1개</x:v>
      </x:c>
      <x:c r="D82" s="383" t="n">
        <x:f>COUNTIF('04_원본응답'!$R$2:$R$101,"1개")</x:f>
        <x:v>28</x:v>
      </x:c>
      <x:c r="E82" s="384" t="n">
        <x:f>COUNTIF('04_원본응답'!$R$2:$R$101,"1개")/COUNTA('04_원본응답'!$R$2:$R$101)</x:f>
        <x:v>0.28</x:v>
      </x:c>
      <x:c r="F82" s="383" t="n">
        <x:f>COUNTA('04_원본응답'!$R$2:$R$101)</x:f>
        <x:v>100</x:v>
      </x:c>
      <x:c r="G82" s="382" t="str">
        <x:v>단일선택</x:v>
      </x:c>
    </x:row>
    <x:row r="83" ht="34" customHeight="1">
      <x:c r="A83" s="381" t="str">
        <x:v>D. 공동 구독</x:v>
      </x:c>
      <x:c r="B83" s="382" t="str">
        <x:v>함께 이용하는 유료 구독 수</x:v>
      </x:c>
      <x:c r="C83" s="382" t="str">
        <x:v>2~3개</x:v>
      </x:c>
      <x:c r="D83" s="383" t="n">
        <x:f>COUNTIF('04_원본응답'!$R$2:$R$101,"2~3개")</x:f>
        <x:v>35</x:v>
      </x:c>
      <x:c r="E83" s="384" t="n">
        <x:f>COUNTIF('04_원본응답'!$R$2:$R$101,"2~3개")/COUNTA('04_원본응답'!$R$2:$R$101)</x:f>
        <x:v>0.35</x:v>
      </x:c>
      <x:c r="F83" s="383" t="n">
        <x:f>COUNTA('04_원본응답'!$R$2:$R$101)</x:f>
        <x:v>100</x:v>
      </x:c>
      <x:c r="G83" s="382" t="str">
        <x:v>단일선택</x:v>
      </x:c>
    </x:row>
    <x:row r="84" ht="34" customHeight="1">
      <x:c r="A84" s="381" t="str">
        <x:v>D. 공동 구독</x:v>
      </x:c>
      <x:c r="B84" s="382" t="str">
        <x:v>함께 이용하는 유료 구독 수</x:v>
      </x:c>
      <x:c r="C84" s="382" t="str">
        <x:v>4개 이상</x:v>
      </x:c>
      <x:c r="D84" s="383" t="n">
        <x:f>COUNTIF('04_원본응답'!$R$2:$R$101,"4개 이상")</x:f>
        <x:v>4</x:v>
      </x:c>
      <x:c r="E84" s="384" t="n">
        <x:f>COUNTIF('04_원본응답'!$R$2:$R$101,"4개 이상")/COUNTA('04_원본응답'!$R$2:$R$101)</x:f>
        <x:v>0.04</x:v>
      </x:c>
      <x:c r="F84" s="383" t="n">
        <x:f>COUNTA('04_원본응답'!$R$2:$R$101)</x:f>
        <x:v>100</x:v>
      </x:c>
      <x:c r="G84" s="382" t="str">
        <x:v>단일선택</x:v>
      </x:c>
    </x:row>
    <x:row r="85" ht="34" customHeight="1">
      <x:c r="A85" s="381" t="str">
        <x:v>D. 공동 구독</x:v>
      </x:c>
      <x:c r="B85" s="382" t="str">
        <x:v>공동 비용 관리 방식</x:v>
      </x:c>
      <x:c r="C85" s="382" t="str">
        <x:v>한 명이 전액 부담</x:v>
      </x:c>
      <x:c r="D85" s="383" t="n">
        <x:f>COUNTIF('04_원본응답'!$S$2:$S$101,"한 명이 전액 부담")</x:f>
        <x:v>50</x:v>
      </x:c>
      <x:c r="E85" s="384" t="n">
        <x:f>COUNTIF('04_원본응답'!$S$2:$S$101,"한 명이 전액 부담")/COUNTA('04_원본응답'!$S$2:$S$101)</x:f>
        <x:v>0.746268656716418</x:v>
      </x:c>
      <x:c r="F85" s="383" t="n">
        <x:f>COUNTA('04_원본응답'!$S$2:$S$101)</x:f>
        <x:v>67</x:v>
      </x:c>
      <x:c r="G85" s="382" t="str">
        <x:v>조건부 응답자 기준</x:v>
      </x:c>
    </x:row>
    <x:row r="86" ht="34" customHeight="1">
      <x:c r="A86" s="381" t="str">
        <x:v>D. 공동 구독</x:v>
      </x:c>
      <x:c r="B86" s="382" t="str">
        <x:v>공동 비용 관리 방식</x:v>
      </x:c>
      <x:c r="C86" s="382" t="str">
        <x:v>매월 1/n로 나누어 송금</x:v>
      </x:c>
      <x:c r="D86" s="383" t="n">
        <x:f>COUNTIF('04_원본응답'!$S$2:$S$101,"매월 1/n로 나누어 송금")</x:f>
        <x:v>12</x:v>
      </x:c>
      <x:c r="E86" s="384" t="n">
        <x:f>COUNTIF('04_원본응답'!$S$2:$S$101,"매월 1/n로 나누어 송금")/COUNTA('04_원본응답'!$S$2:$S$101)</x:f>
        <x:v>0.1791044776119403</x:v>
      </x:c>
      <x:c r="F86" s="383" t="n">
        <x:f>COUNTA('04_원본응답'!$S$2:$S$101)</x:f>
        <x:v>67</x:v>
      </x:c>
      <x:c r="G86" s="382" t="str">
        <x:v>조건부 응답자 기준</x:v>
      </x:c>
    </x:row>
    <x:row r="87" ht="34" customHeight="1">
      <x:c r="A87" s="381" t="str">
        <x:v>D. 공동 구독</x:v>
      </x:c>
      <x:c r="B87" s="382" t="str">
        <x:v>공동 비용 관리 방식</x:v>
      </x:c>
      <x:c r="C87" s="382" t="str">
        <x:v>비정기적으로 정산</x:v>
      </x:c>
      <x:c r="D87" s="383" t="n">
        <x:f>COUNTIF('04_원본응답'!$S$2:$S$101,"비정기적으로 정산")</x:f>
        <x:v>2</x:v>
      </x:c>
      <x:c r="E87" s="384" t="n">
        <x:f>COUNTIF('04_원본응답'!$S$2:$S$101,"비정기적으로 정산")/COUNTA('04_원본응답'!$S$2:$S$101)</x:f>
        <x:v>0.029850746268656716</x:v>
      </x:c>
      <x:c r="F87" s="383" t="n">
        <x:f>COUNTA('04_원본응답'!$S$2:$S$101)</x:f>
        <x:v>67</x:v>
      </x:c>
      <x:c r="G87" s="382" t="str">
        <x:v>조건부 응답자 기준</x:v>
      </x:c>
    </x:row>
    <x:row r="88" ht="34" customHeight="1">
      <x:c r="A88" s="381" t="str">
        <x:v>D. 공동 구독</x:v>
      </x:c>
      <x:c r="B88" s="382" t="str">
        <x:v>공동 비용 관리 방식</x:v>
      </x:c>
      <x:c r="C88" s="382" t="str">
        <x:v>번갈아 결제</x:v>
      </x:c>
      <x:c r="D88" s="383" t="n">
        <x:f>COUNTIF('04_원본응답'!$S$2:$S$101,"번갈아 결제")</x:f>
        <x:v>1</x:v>
      </x:c>
      <x:c r="E88" s="384" t="n">
        <x:f>COUNTIF('04_원본응답'!$S$2:$S$101,"번갈아 결제")/COUNTA('04_원본응답'!$S$2:$S$101)</x:f>
        <x:v>0.014925373134328358</x:v>
      </x:c>
      <x:c r="F88" s="383" t="n">
        <x:f>COUNTA('04_원본응답'!$S$2:$S$101)</x:f>
        <x:v>67</x:v>
      </x:c>
      <x:c r="G88" s="382" t="str">
        <x:v>조건부 응답자 기준</x:v>
      </x:c>
    </x:row>
    <x:row r="89" ht="34" customHeight="1">
      <x:c r="A89" s="381" t="str">
        <x:v>D. 공동 구독</x:v>
      </x:c>
      <x:c r="B89" s="382" t="str">
        <x:v>공동 비용 관리 방식</x:v>
      </x:c>
      <x:c r="C89" s="382" t="str">
        <x:v>아무나</x:v>
      </x:c>
      <x:c r="D89" s="383" t="n">
        <x:f>COUNTIF('04_원본응답'!$S$2:$S$101,"아무나")</x:f>
        <x:v>1</x:v>
      </x:c>
      <x:c r="E89" s="384" t="n">
        <x:f>COUNTIF('04_원본응답'!$S$2:$S$101,"아무나")/COUNTA('04_원본응답'!$S$2:$S$101)</x:f>
        <x:v>0.014925373134328358</x:v>
      </x:c>
      <x:c r="F89" s="383" t="n">
        <x:f>COUNTA('04_원본응답'!$S$2:$S$101)</x:f>
        <x:v>67</x:v>
      </x:c>
      <x:c r="G89" s="382" t="str">
        <x:v>조건부 응답자 기준</x:v>
      </x:c>
    </x:row>
    <x:row r="90" ht="34" customHeight="1">
      <x:c r="A90" s="381" t="str">
        <x:v>D. 공동 구독</x:v>
      </x:c>
      <x:c r="B90" s="382" t="str">
        <x:v>공동 비용 관리 방식</x:v>
      </x:c>
      <x:c r="C90" s="382" t="str">
        <x:v>처음에 1년치 구독 비용을 받음</x:v>
      </x:c>
      <x:c r="D90" s="383" t="n">
        <x:f>COUNTIF('04_원본응답'!$S$2:$S$101,"처음에 1년치 구독 비용을 받음")</x:f>
        <x:v>1</x:v>
      </x:c>
      <x:c r="E90" s="384" t="n">
        <x:f>COUNTIF('04_원본응답'!$S$2:$S$101,"처음에 1년치 구독 비용을 받음")/COUNTA('04_원본응답'!$S$2:$S$101)</x:f>
        <x:v>0.014925373134328358</x:v>
      </x:c>
      <x:c r="F90" s="383" t="n">
        <x:f>COUNTA('04_원본응답'!$S$2:$S$101)</x:f>
        <x:v>67</x:v>
      </x:c>
      <x:c r="G90" s="382" t="str">
        <x:v>조건부 응답자 기준</x:v>
      </x:c>
    </x:row>
    <x:row r="91" ht="34" customHeight="1">
      <x:c r="A91" s="381" t="str">
        <x:v>D. 공동 구독</x:v>
      </x:c>
      <x:c r="B91" s="382" t="str">
        <x:v>공동관리 불편 정도 (1~5)</x:v>
      </x:c>
      <x:c r="C91" s="382" t="str">
        <x:v>1</x:v>
      </x:c>
      <x:c r="D91" s="383" t="n">
        <x:f>COUNTIF('04_원본응답'!$T$2:$T$101,"1")</x:f>
        <x:v>27</x:v>
      </x:c>
      <x:c r="E91" s="384" t="n">
        <x:f>COUNTIF('04_원본응답'!$T$2:$T$101,"1")/COUNTA('04_원본응답'!$T$2:$T$101)</x:f>
        <x:v>0.40298507462686567</x:v>
      </x:c>
      <x:c r="F91" s="383" t="n">
        <x:f>COUNTA('04_원본응답'!$T$2:$T$101)</x:f>
        <x:v>67</x:v>
      </x:c>
      <x:c r="G91" s="382" t="str">
        <x:v>조건부 응답자 기준</x:v>
      </x:c>
    </x:row>
    <x:row r="92" ht="34" customHeight="1">
      <x:c r="A92" s="381" t="str">
        <x:v>D. 공동 구독</x:v>
      </x:c>
      <x:c r="B92" s="382" t="str">
        <x:v>공동관리 불편 정도 (1~5)</x:v>
      </x:c>
      <x:c r="C92" s="382" t="str">
        <x:v>2</x:v>
      </x:c>
      <x:c r="D92" s="383" t="n">
        <x:f>COUNTIF('04_원본응답'!$T$2:$T$101,"2")</x:f>
        <x:v>10</x:v>
      </x:c>
      <x:c r="E92" s="384" t="n">
        <x:f>COUNTIF('04_원본응답'!$T$2:$T$101,"2")/COUNTA('04_원본응답'!$T$2:$T$101)</x:f>
        <x:v>0.14925373134328357</x:v>
      </x:c>
      <x:c r="F92" s="383" t="n">
        <x:f>COUNTA('04_원본응답'!$T$2:$T$101)</x:f>
        <x:v>67</x:v>
      </x:c>
      <x:c r="G92" s="382" t="str">
        <x:v>조건부 응답자 기준</x:v>
      </x:c>
    </x:row>
    <x:row r="93" ht="34" customHeight="1">
      <x:c r="A93" s="381" t="str">
        <x:v>D. 공동 구독</x:v>
      </x:c>
      <x:c r="B93" s="382" t="str">
        <x:v>공동관리 불편 정도 (1~5)</x:v>
      </x:c>
      <x:c r="C93" s="382" t="str">
        <x:v>3</x:v>
      </x:c>
      <x:c r="D93" s="383" t="n">
        <x:f>COUNTIF('04_원본응답'!$T$2:$T$101,"3")</x:f>
        <x:v>13</x:v>
      </x:c>
      <x:c r="E93" s="384" t="n">
        <x:f>COUNTIF('04_원본응답'!$T$2:$T$101,"3")/COUNTA('04_원본응답'!$T$2:$T$101)</x:f>
        <x:v>0.19402985074626866</x:v>
      </x:c>
      <x:c r="F93" s="383" t="n">
        <x:f>COUNTA('04_원본응답'!$T$2:$T$101)</x:f>
        <x:v>67</x:v>
      </x:c>
      <x:c r="G93" s="382" t="str">
        <x:v>조건부 응답자 기준</x:v>
      </x:c>
    </x:row>
    <x:row r="94" ht="34" customHeight="1">
      <x:c r="A94" s="381" t="str">
        <x:v>D. 공동 구독</x:v>
      </x:c>
      <x:c r="B94" s="382" t="str">
        <x:v>공동관리 불편 정도 (1~5)</x:v>
      </x:c>
      <x:c r="C94" s="382" t="str">
        <x:v>4</x:v>
      </x:c>
      <x:c r="D94" s="383" t="n">
        <x:f>COUNTIF('04_원본응답'!$T$2:$T$101,"4")</x:f>
        <x:v>10</x:v>
      </x:c>
      <x:c r="E94" s="384" t="n">
        <x:f>COUNTIF('04_원본응답'!$T$2:$T$101,"4")/COUNTA('04_원본응답'!$T$2:$T$101)</x:f>
        <x:v>0.14925373134328357</x:v>
      </x:c>
      <x:c r="F94" s="383" t="n">
        <x:f>COUNTA('04_원본응답'!$T$2:$T$101)</x:f>
        <x:v>67</x:v>
      </x:c>
      <x:c r="G94" s="382" t="str">
        <x:v>조건부 응답자 기준</x:v>
      </x:c>
    </x:row>
    <x:row r="95" ht="34" customHeight="1">
      <x:c r="A95" s="381" t="str">
        <x:v>D. 공동 구독</x:v>
      </x:c>
      <x:c r="B95" s="382" t="str">
        <x:v>공동관리 불편 정도 (1~5)</x:v>
      </x:c>
      <x:c r="C95" s="382" t="str">
        <x:v>5</x:v>
      </x:c>
      <x:c r="D95" s="383" t="n">
        <x:f>COUNTIF('04_원본응답'!$T$2:$T$101,"5")</x:f>
        <x:v>7</x:v>
      </x:c>
      <x:c r="E95" s="384" t="n">
        <x:f>COUNTIF('04_원본응답'!$T$2:$T$101,"5")/COUNTA('04_원본응답'!$T$2:$T$101)</x:f>
        <x:v>0.1044776119402985</x:v>
      </x:c>
      <x:c r="F95" s="383" t="n">
        <x:f>COUNTA('04_원본응답'!$T$2:$T$101)</x:f>
        <x:v>67</x:v>
      </x:c>
      <x:c r="G95" s="382" t="str">
        <x:v>조건부 응답자 기준</x:v>
      </x:c>
    </x:row>
    <x:row r="96" ht="34" customHeight="1">
      <x:c r="A96" s="381" t="str">
        <x:v>D. 공동 구독</x:v>
      </x:c>
      <x:c r="B96" s="382" t="str">
        <x:v>공동관리 불편 항목</x:v>
      </x:c>
      <x:c r="C96" s="382" t="str">
        <x:v>공유 인원 변경</x:v>
      </x:c>
      <x:c r="D96" s="383" t="n">
        <x:f>COUNTIF('04_원본응답'!$U$2:$U$101,"공유 인원 변경")</x:f>
        <x:v>20</x:v>
      </x:c>
      <x:c r="E96" s="384" t="n">
        <x:f>COUNTIF('04_원본응답'!$U$2:$U$101,"공유 인원 변경")/COUNTA('04_원본응답'!$U$2:$U$101)</x:f>
        <x:v>0.29850746268656714</x:v>
      </x:c>
      <x:c r="F96" s="383" t="n">
        <x:f>COUNTA('04_원본응답'!$U$2:$U$101)</x:f>
        <x:v>67</x:v>
      </x:c>
      <x:c r="G96" s="382" t="str">
        <x:v>조건부 응답자 기준</x:v>
      </x:c>
    </x:row>
    <x:row r="97" ht="34" customHeight="1">
      <x:c r="A97" s="381" t="str">
        <x:v>D. 공동 구독</x:v>
      </x:c>
      <x:c r="B97" s="382" t="str">
        <x:v>공동관리 불편 항목</x:v>
      </x:c>
      <x:c r="C97" s="382" t="str">
        <x:v>정산 시점 기억</x:v>
      </x:c>
      <x:c r="D97" s="383" t="n">
        <x:f>COUNTIF('04_원본응답'!$U$2:$U$101,"정산 시점 기억")</x:f>
        <x:v>17</x:v>
      </x:c>
      <x:c r="E97" s="384" t="n">
        <x:f>COUNTIF('04_원본응답'!$U$2:$U$101,"정산 시점 기억")/COUNTA('04_원본응답'!$U$2:$U$101)</x:f>
        <x:v>0.2537313432835821</x:v>
      </x:c>
      <x:c r="F97" s="383" t="n">
        <x:f>COUNTA('04_원본응답'!$U$2:$U$101)</x:f>
        <x:v>67</x:v>
      </x:c>
      <x:c r="G97" s="382" t="str">
        <x:v>조건부 응답자 기준</x:v>
      </x:c>
    </x:row>
    <x:row r="98" ht="34" customHeight="1">
      <x:c r="A98" s="381" t="str">
        <x:v>D. 공동 구독</x:v>
      </x:c>
      <x:c r="B98" s="382" t="str">
        <x:v>공동관리 불편 항목</x:v>
      </x:c>
      <x:c r="C98" s="382" t="str">
        <x:v>요금제·가격 변경 반영</x:v>
      </x:c>
      <x:c r="D98" s="383" t="n">
        <x:f>COUNTIF('04_원본응답'!$U$2:$U$101,"요금제·가격 변경 반영")</x:f>
        <x:v>15</x:v>
      </x:c>
      <x:c r="E98" s="384" t="n">
        <x:f>COUNTIF('04_원본응답'!$U$2:$U$101,"요금제·가격 변경 반영")/COUNTA('04_원본응답'!$U$2:$U$101)</x:f>
        <x:v>0.22388059701492538</x:v>
      </x:c>
      <x:c r="F98" s="383" t="n">
        <x:f>COUNTA('04_원본응답'!$U$2:$U$101)</x:f>
        <x:v>67</x:v>
      </x:c>
      <x:c r="G98" s="382" t="str">
        <x:v>조건부 응답자 기준</x:v>
      </x:c>
    </x:row>
    <x:row r="99" ht="34" customHeight="1">
      <x:c r="A99" s="381" t="str">
        <x:v>D. 공동 구독</x:v>
      </x:c>
      <x:c r="B99" s="382" t="str">
        <x:v>공동관리 불편 항목</x:v>
      </x:c>
      <x:c r="C99" s="382" t="str">
        <x:v>정산금액 계산</x:v>
      </x:c>
      <x:c r="D99" s="383" t="n">
        <x:f>COUNTIF('04_원본응답'!$U$2:$U$101,"정산금액 계산")</x:f>
        <x:v>8</x:v>
      </x:c>
      <x:c r="E99" s="384" t="n">
        <x:f>COUNTIF('04_원본응답'!$U$2:$U$101,"정산금액 계산")/COUNTA('04_원본응답'!$U$2:$U$101)</x:f>
        <x:v>0.11940298507462686</x:v>
      </x:c>
      <x:c r="F99" s="383" t="n">
        <x:f>COUNTA('04_원본응답'!$U$2:$U$101)</x:f>
        <x:v>67</x:v>
      </x:c>
      <x:c r="G99" s="382" t="str">
        <x:v>조건부 응답자 기준</x:v>
      </x:c>
    </x:row>
    <x:row r="100" ht="34" customHeight="1">
      <x:c r="A100" s="381" t="str">
        <x:v>E. 가장 큰 문제</x:v>
      </x:c>
      <x:c r="B100" s="382" t="str">
        <x:v>구독 관리의 가장 큰 불편</x:v>
      </x:c>
      <x:c r="C100" s="382" t="str">
        <x:v>현재 어떤 상품을 이용 중인지 한눈에 보기 어려움</x:v>
      </x:c>
      <x:c r="D100" s="383" t="n">
        <x:f>SUM('06_집계도우미'!$C$128,'06_집계도우미'!$C$131,'06_집계도우미'!$C$132,'06_집계도우미'!$C$133,'06_집계도우미'!$C$134,'06_집계도우미'!$C$135,'06_집계도우미'!$C$139,'06_집계도우미'!$C$142,'06_집계도우미'!$C$143,'06_집계도우미'!$C$149,'06_집계도우미'!$C$153,'06_집계도우미'!$C$154,'06_집계도우미'!$C$160,'06_집계도우미'!$C$161,'06_집계도우미'!$C$163,'06_집계도우미'!$C$164,'06_집계도우미'!$C$166)</x:f>
        <x:v>48</x:v>
      </x:c>
      <x:c r="E100" s="384" t="n">
        <x:f>SUM('06_집계도우미'!$C$128,'06_집계도우미'!$C$131,'06_집계도우미'!$C$132,'06_집계도우미'!$C$133,'06_집계도우미'!$C$134,'06_집계도우미'!$C$135,'06_집계도우미'!$C$139,'06_집계도우미'!$C$142,'06_집계도우미'!$C$143,'06_집계도우미'!$C$149,'06_집계도우미'!$C$153,'06_집계도우미'!$C$154,'06_집계도우미'!$C$160,'06_집계도우미'!$C$161,'06_집계도우미'!$C$163,'06_집계도우미'!$C$164,'06_집계도우미'!$C$166)/COUNTA('04_원본응답'!$V$2:$V$101)</x:f>
        <x:v>0.48</x:v>
      </x:c>
      <x:c r="F100" s="383" t="n">
        <x:f>COUNTA('04_원본응답'!$V$2:$V$101)</x:f>
        <x:v>100</x:v>
      </x:c>
      <x:c r="G100" s="382" t="str">
        <x:v>복수선택 · 응답자 기준</x:v>
      </x:c>
    </x:row>
    <x:row r="101" ht="34" customHeight="1">
      <x:c r="A101" s="381" t="str">
        <x:v>E. 가장 큰 문제</x:v>
      </x:c>
      <x:c r="B101" s="382" t="str">
        <x:v>구독 관리의 가장 큰 불편</x:v>
      </x:c>
      <x:c r="C101" s="382" t="str">
        <x:v>매월 총 얼마를 지출하는지 파악하기 어려움</x:v>
      </x:c>
      <x:c r="D101" s="383" t="n">
        <x:f>SUM('06_집계도우미'!$C$128,'06_집계도우미'!$C$130,'06_집계도우미'!$C$131,'06_집계도우미'!$C$132,'06_집계도우미'!$C$134,'06_집계도우미'!$C$135,'06_집계도우미'!$C$138,'06_집계도우미'!$C$140,'06_집계도우미'!$C$143,'06_집계도우미'!$C$145,'06_집계도우미'!$C$146,'06_집계도우미'!$C$147,'06_집계도우미'!$C$148,'06_집계도우미'!$C$150,'06_집계도우미'!$C$153,'06_집계도우미'!$C$154,'06_집계도우미'!$C$159,'06_집계도우미'!$C$160,'06_집계도우미'!$C$161,'06_집계도우미'!$C$163,'06_집계도우미'!$C$165,'06_집계도우미'!$C$166)</x:f>
        <x:v>48</x:v>
      </x:c>
      <x:c r="E101" s="384" t="n">
        <x:f>SUM('06_집계도우미'!$C$128,'06_집계도우미'!$C$130,'06_집계도우미'!$C$131,'06_집계도우미'!$C$132,'06_집계도우미'!$C$134,'06_집계도우미'!$C$135,'06_집계도우미'!$C$138,'06_집계도우미'!$C$140,'06_집계도우미'!$C$143,'06_집계도우미'!$C$145,'06_집계도우미'!$C$146,'06_집계도우미'!$C$147,'06_집계도우미'!$C$148,'06_집계도우미'!$C$150,'06_집계도우미'!$C$153,'06_집계도우미'!$C$154,'06_집계도우미'!$C$159,'06_집계도우미'!$C$160,'06_집계도우미'!$C$161,'06_집계도우미'!$C$163,'06_집계도우미'!$C$165,'06_집계도우미'!$C$166)/COUNTA('04_원본응답'!$V$2:$V$101)</x:f>
        <x:v>0.48</x:v>
      </x:c>
      <x:c r="F101" s="383" t="n">
        <x:f>COUNTA('04_원본응답'!$V$2:$V$101)</x:f>
        <x:v>100</x:v>
      </x:c>
      <x:c r="G101" s="382" t="str">
        <x:v>복수선택 · 응답자 기준</x:v>
      </x:c>
    </x:row>
    <x:row r="102" ht="34" customHeight="1">
      <x:c r="A102" s="381" t="str">
        <x:v>E. 가장 큰 문제</x:v>
      </x:c>
      <x:c r="B102" s="382" t="str">
        <x:v>구독 관리의 가장 큰 불편</x:v>
      </x:c>
      <x:c r="C102" s="382" t="str">
        <x:v>내가 받을 수 있는 혜택을 파악하기 어려움</x:v>
      </x:c>
      <x:c r="D102" s="383" t="n">
        <x:f>0</x:f>
        <x:v>0</x:v>
      </x:c>
      <x:c r="E102" s="384" t="n">
        <x:f>0/COUNTA('04_원본응답'!$V$2:$V$101)</x:f>
        <x:v>0</x:v>
      </x:c>
      <x:c r="F102" s="383" t="n">
        <x:f>COUNTA('04_원본응답'!$V$2:$V$101)</x:f>
        <x:v>100</x:v>
      </x:c>
      <x:c r="G102" s="382" t="str">
        <x:v>복수선택 · 응답자 기준</x:v>
      </x:c>
    </x:row>
    <x:row r="103" ht="34" customHeight="1">
      <x:c r="A103" s="381" t="str">
        <x:v>E. 가장 큰 문제</x:v>
      </x:c>
      <x:c r="B103" s="382" t="str">
        <x:v>구독 관리의 가장 큰 불편</x:v>
      </x:c>
      <x:c r="C103" s="382" t="str">
        <x:v>혜택 적용 조건이 복잡함</x:v>
      </x:c>
      <x:c r="D103" s="383" t="n">
        <x:f>SUM('06_집계도우미'!$C$128,'06_집계도우미'!$C$129,'06_집계도우미'!$C$138,'06_집계도우미'!$C$140,'06_집계도우미'!$C$144,'06_집계도우미'!$C$149,'06_집계도우미'!$C$152,'06_집계도우미'!$C$153,'06_집계도우미'!$C$159,'06_집계도우미'!$C$160,'06_집계도우미'!$C$161,'06_집계도우미'!$C$163,'06_집계도우미'!$C$165)</x:f>
        <x:v>22</x:v>
      </x:c>
      <x:c r="E103" s="384" t="n">
        <x:f>SUM('06_집계도우미'!$C$128,'06_집계도우미'!$C$129,'06_집계도우미'!$C$138,'06_집계도우미'!$C$140,'06_집계도우미'!$C$144,'06_집계도우미'!$C$149,'06_집계도우미'!$C$152,'06_집계도우미'!$C$153,'06_집계도우미'!$C$159,'06_집계도우미'!$C$160,'06_집계도우미'!$C$161,'06_집계도우미'!$C$163,'06_집계도우미'!$C$165)/COUNTA('04_원본응답'!$V$2:$V$101)</x:f>
        <x:v>0.22</x:v>
      </x:c>
      <x:c r="F103" s="383" t="n">
        <x:f>COUNTA('04_원본응답'!$V$2:$V$101)</x:f>
        <x:v>100</x:v>
      </x:c>
      <x:c r="G103" s="382" t="str">
        <x:v>복수선택 · 응답자 기준</x:v>
      </x:c>
    </x:row>
    <x:row r="104" ht="34" customHeight="1">
      <x:c r="A104" s="381" t="str">
        <x:v>E. 가장 큰 문제</x:v>
      </x:c>
      <x:c r="B104" s="382" t="str">
        <x:v>구독 관리의 가장 큰 불편</x:v>
      </x:c>
      <x:c r="C104" s="382" t="str">
        <x:v>결제일·갱신일을 관리하기 어려움</x:v>
      </x:c>
      <x:c r="D104" s="383" t="n">
        <x:f>SUM('06_집계도우미'!$C$128,'06_집계도우미'!$C$130,'06_집계도우미'!$C$131,'06_집계도우미'!$C$132,'06_집계도우미'!$C$134,'06_집계도우미'!$C$136,'06_집계도우미'!$C$138,'06_집계도우미'!$C$140,'06_집계도우미'!$C$141,'06_집계도우미'!$C$148,'06_집계도우미'!$C$149,'06_집계도우미'!$C$150,'06_집계도우미'!$C$152,'06_집계도우미'!$C$154,'06_집계도우미'!$C$157,'06_집계도우미'!$C$158,'06_집계도우미'!$C$161)</x:f>
        <x:v>30</x:v>
      </x:c>
      <x:c r="E104" s="384" t="n">
        <x:f>SUM('06_집계도우미'!$C$128,'06_집계도우미'!$C$130,'06_집계도우미'!$C$131,'06_집계도우미'!$C$132,'06_집계도우미'!$C$134,'06_집계도우미'!$C$136,'06_집계도우미'!$C$138,'06_집계도우미'!$C$140,'06_집계도우미'!$C$141,'06_집계도우미'!$C$148,'06_집계도우미'!$C$149,'06_집계도우미'!$C$150,'06_집계도우미'!$C$152,'06_집계도우미'!$C$154,'06_집계도우미'!$C$157,'06_집계도우미'!$C$158,'06_집계도우미'!$C$161)/COUNTA('04_원본응답'!$V$2:$V$101)</x:f>
        <x:v>0.3</x:v>
      </x:c>
      <x:c r="F104" s="383" t="n">
        <x:f>COUNTA('04_원본응답'!$V$2:$V$101)</x:f>
        <x:v>100</x:v>
      </x:c>
      <x:c r="G104" s="382" t="str">
        <x:v>복수선택 · 응답자 기준</x:v>
      </x:c>
    </x:row>
    <x:row r="105" ht="34" customHeight="1">
      <x:c r="A105" s="381" t="str">
        <x:v>E. 가장 큰 문제</x:v>
      </x:c>
      <x:c r="B105" s="382" t="str">
        <x:v>구독 관리의 가장 큰 불편</x:v>
      </x:c>
      <x:c r="C105" s="382" t="str">
        <x:v>기존 상품과 중복되는 구독·혜택을 확인하기 어려움</x:v>
      </x:c>
      <x:c r="D105" s="383" t="n">
        <x:f>SUM('06_집계도우미'!$C$128,'06_집계도우미'!$C$131,'06_집계도우미'!$C$134,'06_집계도우미'!$C$138,'06_집계도우미'!$C$140,'06_집계도우미'!$C$144,'06_집계도우미'!$C$148,'06_집계도우미'!$C$150,'06_집계도우미'!$C$156,'06_집계도우미'!$C$160,'06_집계도우미'!$C$161,'06_집계도우미'!$C$162,'06_집계도우미'!$C$164,'06_집계도우미'!$C$165)</x:f>
        <x:v>24</x:v>
      </x:c>
      <x:c r="E105" s="384" t="n">
        <x:f>SUM('06_집계도우미'!$C$128,'06_집계도우미'!$C$131,'06_집계도우미'!$C$134,'06_집계도우미'!$C$138,'06_집계도우미'!$C$140,'06_집계도우미'!$C$144,'06_집계도우미'!$C$148,'06_집계도우미'!$C$150,'06_집계도우미'!$C$156,'06_집계도우미'!$C$160,'06_집계도우미'!$C$161,'06_집계도우미'!$C$162,'06_집계도우미'!$C$164,'06_집계도우미'!$C$165)/COUNTA('04_원본응답'!$V$2:$V$101)</x:f>
        <x:v>0.24</x:v>
      </x:c>
      <x:c r="F105" s="383" t="n">
        <x:f>COUNTA('04_원본응답'!$V$2:$V$101)</x:f>
        <x:v>100</x:v>
      </x:c>
      <x:c r="G105" s="382" t="str">
        <x:v>복수선택 · 응답자 기준</x:v>
      </x:c>
    </x:row>
    <x:row r="106" ht="34" customHeight="1">
      <x:c r="A106" s="381" t="str">
        <x:v>E. 가장 큰 문제</x:v>
      </x:c>
      <x:c r="B106" s="382" t="str">
        <x:v>구독 관리의 가장 큰 불편</x:v>
      </x:c>
      <x:c r="C106" s="382" t="str">
        <x:v>어떤 상품을 유지·변경·해지해야 할지 판단하기 어려움</x:v>
      </x:c>
      <x:c r="D106" s="383" t="n">
        <x:f>0</x:f>
        <x:v>0</x:v>
      </x:c>
      <x:c r="E106" s="384" t="n">
        <x:f>0/COUNTA('04_원본응답'!$V$2:$V$101)</x:f>
        <x:v>0</x:v>
      </x:c>
      <x:c r="F106" s="383" t="n">
        <x:f>COUNTA('04_원본응답'!$V$2:$V$101)</x:f>
        <x:v>100</x:v>
      </x:c>
      <x:c r="G106" s="382" t="str">
        <x:v>복수선택 · 응답자 기준</x:v>
      </x:c>
    </x:row>
    <x:row r="107" ht="34" customHeight="1">
      <x:c r="A107" s="381" t="str">
        <x:v>E. 가장 큰 문제</x:v>
      </x:c>
      <x:c r="B107" s="382" t="str">
        <x:v>구독 관리의 가장 큰 불편</x:v>
      </x:c>
      <x:c r="C107" s="382" t="str">
        <x:v>공동 구독 정산이 번거로움</x:v>
      </x:c>
      <x:c r="D107" s="383" t="n">
        <x:f>SUM('06_집계도우미'!$C$141,'06_집계도우미'!$C$153,'06_집계도우미'!$C$162,'06_집계도우미'!$C$166)</x:f>
        <x:v>5</x:v>
      </x:c>
      <x:c r="E107" s="384" t="n">
        <x:f>SUM('06_집계도우미'!$C$141,'06_집계도우미'!$C$153,'06_집계도우미'!$C$162,'06_집계도우미'!$C$166)/COUNTA('04_원본응답'!$V$2:$V$101)</x:f>
        <x:v>0.05</x:v>
      </x:c>
      <x:c r="F107" s="383" t="n">
        <x:f>COUNTA('04_원본응답'!$V$2:$V$101)</x:f>
        <x:v>100</x:v>
      </x:c>
      <x:c r="G107" s="382" t="str">
        <x:v>복수선택 · 응답자 기준</x:v>
      </x:c>
    </x:row>
    <x:row r="108" ht="34" customHeight="1">
      <x:c r="A108" s="381" t="str">
        <x:v>E. 가장 큰 문제</x:v>
      </x:c>
      <x:c r="B108" s="382" t="str">
        <x:v>구독 관리의 가장 큰 불편</x:v>
      </x:c>
      <x:c r="C108" s="382" t="str">
        <x:v>여러 앱·사이트를 확인해야 해서 번거로움</x:v>
      </x:c>
      <x:c r="D108" s="383" t="n">
        <x:f>SUM('06_집계도우미'!$C$128,'06_집계도우미'!$C$131,'06_집계도우미'!$C$135,'06_집계도우미'!$C$138,'06_집계도우미'!$C$142,'06_집계도우미'!$C$145,'06_집계도우미'!$C$147,'06_집계도우미'!$C$150,'06_집계도우미'!$C$151,'06_집계도우미'!$C$154,'06_집계도우미'!$C$158,'06_집계도우미'!$C$160,'06_집계도우미'!$C$162)</x:f>
        <x:v>25</x:v>
      </x:c>
      <x:c r="E108" s="384" t="n">
        <x:f>SUM('06_집계도우미'!$C$128,'06_집계도우미'!$C$131,'06_집계도우미'!$C$135,'06_집계도우미'!$C$138,'06_집계도우미'!$C$142,'06_집계도우미'!$C$145,'06_집계도우미'!$C$147,'06_집계도우미'!$C$150,'06_집계도우미'!$C$151,'06_집계도우미'!$C$154,'06_집계도우미'!$C$158,'06_집계도우미'!$C$160,'06_집계도우미'!$C$162)/COUNTA('04_원본응답'!$V$2:$V$101)</x:f>
        <x:v>0.25</x:v>
      </x:c>
      <x:c r="F108" s="383" t="n">
        <x:f>COUNTA('04_원본응답'!$V$2:$V$101)</x:f>
        <x:v>100</x:v>
      </x:c>
      <x:c r="G108" s="382" t="str">
        <x:v>복수선택 · 응답자 기준</x:v>
      </x:c>
    </x:row>
    <x:row r="109" ht="34" customHeight="1">
      <x:c r="A109" s="381" t="str">
        <x:v>E. 가장 큰 문제</x:v>
      </x:c>
      <x:c r="B109" s="382" t="str">
        <x:v>구독 관리의 가장 큰 불편</x:v>
      </x:c>
      <x:c r="C109" s="382" t="str">
        <x:v>특별히 불편하지 않음</x:v>
      </x:c>
      <x:c r="D109" s="383" t="n">
        <x:f>SUM('06_집계도우미'!$C$136,'06_집계도우미'!$C$137,'06_집계도우미'!$C$139)</x:f>
        <x:v>18</x:v>
      </x:c>
      <x:c r="E109" s="384" t="n">
        <x:f>SUM('06_집계도우미'!$C$136,'06_집계도우미'!$C$137,'06_집계도우미'!$C$139)/COUNTA('04_원본응답'!$V$2:$V$101)</x:f>
        <x:v>0.18</x:v>
      </x:c>
      <x:c r="F109" s="383" t="n">
        <x:f>COUNTA('04_원본응답'!$V$2:$V$101)</x:f>
        <x:v>100</x:v>
      </x:c>
      <x:c r="G109" s="382" t="str">
        <x:v>복수선택 · 응답자 기준</x:v>
      </x:c>
    </x:row>
    <x:row r="110" ht="34" customHeight="1">
      <x:c r="A110" s="381" t="str">
        <x:v>E. 가장 큰 문제</x:v>
      </x:c>
      <x:c r="B110" s="382" t="str">
        <x:v>구독 관리의 가장 큰 불편</x:v>
      </x:c>
      <x:c r="C110" s="382" t="str">
        <x:v>기타</x:v>
      </x:c>
      <x:c r="D110" s="383" t="n">
        <x:f>SUM('06_집계도우미'!$C$145,'06_집계도우미'!$C$155)</x:f>
        <x:v>3</x:v>
      </x:c>
      <x:c r="E110" s="384" t="n">
        <x:f>SUM('06_집계도우미'!$C$145,'06_집계도우미'!$C$155)/COUNTA('04_원본응답'!$V$2:$V$101)</x:f>
        <x:v>0.03</x:v>
      </x:c>
      <x:c r="F110" s="383" t="n">
        <x:f>COUNTA('04_원본응답'!$V$2:$V$101)</x:f>
        <x:v>100</x:v>
      </x:c>
      <x:c r="G110" s="382" t="str">
        <x:v>복수선택 · 응답자 기준</x:v>
      </x:c>
    </x:row>
    <x:row r="111" ht="34" customHeight="1">
      <x:c r="A111" s="381" t="str">
        <x:v>E. 가장 큰 문제</x:v>
      </x:c>
      <x:c r="B111" s="382" t="str">
        <x:v>부담·필요성 저하 시 최근 행동</x:v>
      </x:c>
      <x:c r="C111" s="382" t="str">
        <x:v>완전 해지</x:v>
      </x:c>
      <x:c r="D111" s="383" t="n">
        <x:f>COUNTIF('04_원본응답'!$W$2:$W$101,"완전 해지")</x:f>
        <x:v>71</x:v>
      </x:c>
      <x:c r="E111" s="384" t="n">
        <x:f>COUNTIF('04_원본응답'!$W$2:$W$101,"완전 해지")/COUNTA('04_원본응답'!$W$2:$W$101)</x:f>
        <x:v>0.71</x:v>
      </x:c>
      <x:c r="F111" s="383" t="n">
        <x:f>COUNTA('04_원본응답'!$W$2:$W$101)</x:f>
        <x:v>100</x:v>
      </x:c>
      <x:c r="G111" s="382" t="str">
        <x:v>단일선택</x:v>
      </x:c>
    </x:row>
    <x:row r="112" ht="34" customHeight="1">
      <x:c r="A112" s="381" t="str">
        <x:v>E. 가장 큰 문제</x:v>
      </x:c>
      <x:c r="B112" s="382" t="str">
        <x:v>부담·필요성 저하 시 최근 행동</x:v>
      </x:c>
      <x:c r="C112" s="382" t="str">
        <x:v>더 저렴한 요금제로 변경</x:v>
      </x:c>
      <x:c r="D112" s="383" t="n">
        <x:f>COUNTIF('04_원본응답'!$W$2:$W$101,"더 저렴한 요금제로 변경")</x:f>
        <x:v>11</x:v>
      </x:c>
      <x:c r="E112" s="384" t="n">
        <x:f>COUNTIF('04_원본응답'!$W$2:$W$101,"더 저렴한 요금제로 변경")/COUNTA('04_원본응답'!$W$2:$W$101)</x:f>
        <x:v>0.11</x:v>
      </x:c>
      <x:c r="F112" s="383" t="n">
        <x:f>COUNTA('04_원본응답'!$W$2:$W$101)</x:f>
        <x:v>100</x:v>
      </x:c>
      <x:c r="G112" s="382" t="str">
        <x:v>단일선택</x:v>
      </x:c>
    </x:row>
    <x:row r="113" ht="34" customHeight="1">
      <x:c r="A113" s="381" t="str">
        <x:v>E. 가장 큰 문제</x:v>
      </x:c>
      <x:c r="B113" s="382" t="str">
        <x:v>부담·필요성 저하 시 최근 행동</x:v>
      </x:c>
      <x:c r="C113" s="382" t="str">
        <x:v>일시정지</x:v>
      </x:c>
      <x:c r="D113" s="383" t="n">
        <x:f>COUNTIF('04_원본응답'!$W$2:$W$101,"일시정지")</x:f>
        <x:v>4</x:v>
      </x:c>
      <x:c r="E113" s="384" t="n">
        <x:f>COUNTIF('04_원본응답'!$W$2:$W$101,"일시정지")/COUNTA('04_원본응답'!$W$2:$W$101)</x:f>
        <x:v>0.04</x:v>
      </x:c>
      <x:c r="F113" s="383" t="n">
        <x:f>COUNTA('04_원본응답'!$W$2:$W$101)</x:f>
        <x:v>100</x:v>
      </x:c>
      <x:c r="G113" s="382" t="str">
        <x:v>단일선택</x:v>
      </x:c>
    </x:row>
    <x:row r="114" ht="34" customHeight="1">
      <x:c r="A114" s="381" t="str">
        <x:v>E. 가장 큰 문제</x:v>
      </x:c>
      <x:c r="B114" s="382" t="str">
        <x:v>부담·필요성 저하 시 최근 행동</x:v>
      </x:c>
      <x:c r="C114" s="382" t="str">
        <x:v>가족·친구와 공유</x:v>
      </x:c>
      <x:c r="D114" s="383" t="n">
        <x:f>COUNTIF('04_원본응답'!$W$2:$W$101,"가족·친구와 공유")</x:f>
        <x:v>2</x:v>
      </x:c>
      <x:c r="E114" s="384" t="n">
        <x:f>COUNTIF('04_원본응답'!$W$2:$W$101,"가족·친구와 공유")/COUNTA('04_원본응답'!$W$2:$W$101)</x:f>
        <x:v>0.02</x:v>
      </x:c>
      <x:c r="F114" s="383" t="n">
        <x:f>COUNTA('04_원본응답'!$W$2:$W$101)</x:f>
        <x:v>100</x:v>
      </x:c>
      <x:c r="G114" s="382" t="str">
        <x:v>단일선택</x:v>
      </x:c>
    </x:row>
    <x:row r="115" ht="34" customHeight="1">
      <x:c r="A115" s="381" t="str">
        <x:v>E. 가장 큰 문제</x:v>
      </x:c>
      <x:c r="B115" s="382" t="str">
        <x:v>부담·필요성 저하 시 최근 행동</x:v>
      </x:c>
      <x:c r="C115" s="382" t="str">
        <x:v>결합·할인상품으로 변경</x:v>
      </x:c>
      <x:c r="D115" s="383" t="n">
        <x:f>COUNTIF('04_원본응답'!$W$2:$W$101,"결합·할인상품으로 변경")</x:f>
        <x:v>4</x:v>
      </x:c>
      <x:c r="E115" s="384" t="n">
        <x:f>COUNTIF('04_원본응답'!$W$2:$W$101,"결합·할인상품으로 변경")/COUNTA('04_원본응답'!$W$2:$W$101)</x:f>
        <x:v>0.04</x:v>
      </x:c>
      <x:c r="F115" s="383" t="n">
        <x:f>COUNTA('04_원본응답'!$W$2:$W$101)</x:f>
        <x:v>100</x:v>
      </x:c>
      <x:c r="G115" s="382" t="str">
        <x:v>단일선택</x:v>
      </x:c>
    </x:row>
    <x:row r="116" ht="34" customHeight="1">
      <x:c r="A116" s="381" t="str">
        <x:v>E. 가장 큰 문제</x:v>
      </x:c>
      <x:c r="B116" s="382" t="str">
        <x:v>부담·필요성 저하 시 최근 행동</x:v>
      </x:c>
      <x:c r="C116" s="382" t="str">
        <x:v>그냥 유지</x:v>
      </x:c>
      <x:c r="D116" s="383" t="n">
        <x:f>COUNTIF('04_원본응답'!$W$2:$W$101,"그냥 유지")</x:f>
        <x:v>6</x:v>
      </x:c>
      <x:c r="E116" s="384" t="n">
        <x:f>COUNTIF('04_원본응답'!$W$2:$W$101,"그냥 유지")/COUNTA('04_원본응답'!$W$2:$W$101)</x:f>
        <x:v>0.06</x:v>
      </x:c>
      <x:c r="F116" s="383" t="n">
        <x:f>COUNTA('04_원본응답'!$W$2:$W$101)</x:f>
        <x:v>100</x:v>
      </x:c>
      <x:c r="G116" s="382" t="str">
        <x:v>단일선택</x:v>
      </x:c>
    </x:row>
    <x:row r="117" ht="34" customHeight="1">
      <x:c r="A117" s="381" t="str">
        <x:v>E. 가장 큰 문제</x:v>
      </x:c>
      <x:c r="B117" s="382" t="str">
        <x:v>부담·필요성 저하 시 최근 행동</x:v>
      </x:c>
      <x:c r="C117" s="382" t="str">
        <x:v>기타</x:v>
      </x:c>
      <x:c r="D117" s="383" t="n">
        <x:f>COUNTIF('04_원본응답'!$W$2:$W$101,"기타")</x:f>
        <x:v>2</x:v>
      </x:c>
      <x:c r="E117" s="384" t="n">
        <x:f>COUNTIF('04_원본응답'!$W$2:$W$101,"기타")/COUNTA('04_원본응답'!$W$2:$W$101)</x:f>
        <x:v>0.02</x:v>
      </x:c>
      <x:c r="F117" s="383" t="n">
        <x:f>COUNTA('04_원본응답'!$W$2:$W$101)</x:f>
        <x:v>100</x:v>
      </x:c>
      <x:c r="G117" s="382" t="str">
        <x:v>단일선택</x:v>
      </x:c>
    </x:row>
    <x:row r="118" ht="34" customHeight="1">
      <x:c r="A118" s="381" t="str">
        <x:v>F. 정보 우선순위</x:v>
      </x:c>
      <x:c r="B118" s="382" t="str">
        <x:v>한곳에서 보고 싶은 정보</x:v>
      </x:c>
      <x:c r="C118" s="382" t="str">
        <x:v>현재 이용 중인 전체 구독·멤버십</x:v>
      </x:c>
      <x:c r="D118" s="383" t="n">
        <x:f>SUM('06_집계도우미'!$C$167,'06_집계도우미'!$C$168,'06_집계도우미'!$C$169,'06_집계도우미'!$C$170,'06_집계도우미'!$C$171,'06_집계도우미'!$C$173,'06_집계도우미'!$C$174,'06_집계도우미'!$C$175,'06_집계도우미'!$C$176,'06_집계도우미'!$C$177,'06_집계도우미'!$C$178,'06_집계도우미'!$C$179,'06_집계도우미'!$C$183,'06_집계도우미'!$C$184,'06_집계도우미'!$C$186,'06_집계도우미'!$C$187,'06_집계도우미'!$C$191,'06_집계도우미'!$C$192,'06_집계도우미'!$C$193,'06_집계도우미'!$C$194,'06_집계도우미'!$C$195,'06_집계도우미'!$C$196,'06_집계도우미'!$C$202,'06_집계도우미'!$C$206)</x:f>
        <x:v>71</x:v>
      </x:c>
      <x:c r="E118" s="384" t="n">
        <x:f>SUM('06_집계도우미'!$C$167,'06_집계도우미'!$C$168,'06_집계도우미'!$C$169,'06_집계도우미'!$C$170,'06_집계도우미'!$C$171,'06_집계도우미'!$C$173,'06_집계도우미'!$C$174,'06_집계도우미'!$C$175,'06_집계도우미'!$C$176,'06_집계도우미'!$C$177,'06_집계도우미'!$C$178,'06_집계도우미'!$C$179,'06_집계도우미'!$C$183,'06_집계도우미'!$C$184,'06_집계도우미'!$C$186,'06_집계도우미'!$C$187,'06_집계도우미'!$C$191,'06_집계도우미'!$C$192,'06_집계도우미'!$C$193,'06_집계도우미'!$C$194,'06_집계도우미'!$C$195,'06_집계도우미'!$C$196,'06_집계도우미'!$C$202,'06_집계도우미'!$C$206)/COUNTA('04_원본응답'!$X$2:$X$101)</x:f>
        <x:v>0.71</x:v>
      </x:c>
      <x:c r="F118" s="383" t="n">
        <x:f>COUNTA('04_원본응답'!$X$2:$X$101)</x:f>
        <x:v>100</x:v>
      </x:c>
      <x:c r="G118" s="382" t="str">
        <x:v>복수선택 · 응답자 기준</x:v>
      </x:c>
    </x:row>
    <x:row r="119" ht="34" customHeight="1">
      <x:c r="A119" s="381" t="str">
        <x:v>F. 정보 우선순위</x:v>
      </x:c>
      <x:c r="B119" s="382" t="str">
        <x:v>한곳에서 보고 싶은 정보</x:v>
      </x:c>
      <x:c r="C119" s="382" t="str">
        <x:v>이번 달 총 결제 예정금액</x:v>
      </x:c>
      <x:c r="D119" s="383" t="n">
        <x:f>SUM('06_집계도우미'!$C$167,'06_집계도우미'!$C$168,'06_집계도우미'!$C$169,'06_집계도우미'!$C$170,'06_집계도우미'!$C$172,'06_집계도우미'!$C$174,'06_집계도우미'!$C$177,'06_집계도우미'!$C$179,'06_집계도우미'!$C$183,'06_집계도우미'!$C$184,'06_집계도우미'!$C$187,'06_집계도우미'!$C$189,'06_집계도우미'!$C$195,'06_집계도우미'!$C$196,'06_집계도우미'!$C$203,'06_집계도우미'!$C$204,'06_집계도우미'!$C$206)</x:f>
        <x:v>57</x:v>
      </x:c>
      <x:c r="E119" s="384" t="n">
        <x:f>SUM('06_집계도우미'!$C$167,'06_집계도우미'!$C$168,'06_집계도우미'!$C$169,'06_집계도우미'!$C$170,'06_집계도우미'!$C$172,'06_집계도우미'!$C$174,'06_집계도우미'!$C$177,'06_집계도우미'!$C$179,'06_집계도우미'!$C$183,'06_집계도우미'!$C$184,'06_집계도우미'!$C$187,'06_집계도우미'!$C$189,'06_집계도우미'!$C$195,'06_집계도우미'!$C$196,'06_집계도우미'!$C$203,'06_집계도우미'!$C$204,'06_집계도우미'!$C$206)/COUNTA('04_원본응답'!$X$2:$X$101)</x:f>
        <x:v>0.57</x:v>
      </x:c>
      <x:c r="F119" s="383" t="n">
        <x:f>COUNTA('04_원본응답'!$X$2:$X$101)</x:f>
        <x:v>100</x:v>
      </x:c>
      <x:c r="G119" s="382" t="str">
        <x:v>복수선택 · 응답자 기준</x:v>
      </x:c>
    </x:row>
    <x:row r="120" ht="34" customHeight="1">
      <x:c r="A120" s="381" t="str">
        <x:v>F. 정보 우선순위</x:v>
      </x:c>
      <x:c r="B120" s="382" t="str">
        <x:v>한곳에서 보고 싶은 정보</x:v>
      </x:c>
      <x:c r="C120" s="382" t="str">
        <x:v>내가 현재 보유한 전체 혜택</x:v>
      </x:c>
      <x:c r="D120" s="383" t="n">
        <x:f>SUM('06_집계도우미'!$C$167,'06_집계도우미'!$C$168,'06_집계도우미'!$C$170,'06_집계도우미'!$C$171,'06_집계도우미'!$C$172,'06_집계도우미'!$C$174,'06_집계도우미'!$C$175,'06_집계도우미'!$C$178,'06_집계도우미'!$C$180,'06_집계도우미'!$C$181,'06_집계도우미'!$C$184,'06_집계도우미'!$C$185,'06_집계도우미'!$C$186,'06_집계도우미'!$C$187,'06_집계도우미'!$C$188,'06_집계도우미'!$C$192,'06_집계도우미'!$C$194,'06_집계도우미'!$C$198,'06_집계도우미'!$C$200,'06_집계도우미'!$C$202,'06_집계도우미'!$C$204,'06_집계도우미'!$C$206)</x:f>
        <x:v>56</x:v>
      </x:c>
      <x:c r="E120" s="384" t="n">
        <x:f>SUM('06_집계도우미'!$C$167,'06_집계도우미'!$C$168,'06_집계도우미'!$C$170,'06_집계도우미'!$C$171,'06_집계도우미'!$C$172,'06_집계도우미'!$C$174,'06_집계도우미'!$C$175,'06_집계도우미'!$C$178,'06_집계도우미'!$C$180,'06_집계도우미'!$C$181,'06_집계도우미'!$C$184,'06_집계도우미'!$C$185,'06_집계도우미'!$C$186,'06_집계도우미'!$C$187,'06_집계도우미'!$C$188,'06_집계도우미'!$C$192,'06_집계도우미'!$C$194,'06_집계도우미'!$C$198,'06_집계도우미'!$C$200,'06_집계도우미'!$C$202,'06_집계도우미'!$C$204,'06_집계도우미'!$C$206)/COUNTA('04_원본응답'!$X$2:$X$101)</x:f>
        <x:v>0.56</x:v>
      </x:c>
      <x:c r="F120" s="383" t="n">
        <x:f>COUNTA('04_원본응답'!$X$2:$X$101)</x:f>
        <x:v>100</x:v>
      </x:c>
      <x:c r="G120" s="382" t="str">
        <x:v>복수선택 · 응답자 기준</x:v>
      </x:c>
    </x:row>
    <x:row r="121" ht="34" customHeight="1">
      <x:c r="A121" s="381" t="str">
        <x:v>F. 정보 우선순위</x:v>
      </x:c>
      <x:c r="B121" s="382" t="str">
        <x:v>한곳에서 보고 싶은 정보</x:v>
      </x:c>
      <x:c r="C121" s="382" t="str">
        <x:v>기존 상품과 중복 가능성이 있는 구독·혜택</x:v>
      </x:c>
      <x:c r="D121" s="383" t="n">
        <x:f>SUM('06_집계도우미'!$C$167,'06_집계도우미'!$C$169,'06_집계도우미'!$C$170,'06_집계도우미'!$C$171,'06_집계도우미'!$C$174,'06_집계도우미'!$C$181,'06_집계도우미'!$C$186,'06_집계도우미'!$C$187,'06_집계도우미'!$C$191,'06_집계도우미'!$C$192,'06_집계도우미'!$C$194,'06_집계도우미'!$C$196,'06_집계도우미'!$C$197,'06_집계도우미'!$C$200,'06_집계도우미'!$C$202)</x:f>
        <x:v>26</x:v>
      </x:c>
      <x:c r="E121" s="384" t="n">
        <x:f>SUM('06_집계도우미'!$C$167,'06_집계도우미'!$C$169,'06_집계도우미'!$C$170,'06_집계도우미'!$C$171,'06_집계도우미'!$C$174,'06_집계도우미'!$C$181,'06_집계도우미'!$C$186,'06_집계도우미'!$C$187,'06_집계도우미'!$C$191,'06_집계도우미'!$C$192,'06_집계도우미'!$C$194,'06_집계도우미'!$C$196,'06_집계도우미'!$C$197,'06_집계도우미'!$C$200,'06_집계도우미'!$C$202)/COUNTA('04_원본응답'!$X$2:$X$101)</x:f>
        <x:v>0.26</x:v>
      </x:c>
      <x:c r="F121" s="383" t="n">
        <x:f>COUNTA('04_원본응답'!$X$2:$X$101)</x:f>
        <x:v>100</x:v>
      </x:c>
      <x:c r="G121" s="382" t="str">
        <x:v>복수선택 · 응답자 기준</x:v>
      </x:c>
    </x:row>
    <x:row r="122" ht="34" customHeight="1">
      <x:c r="A122" s="381" t="str">
        <x:v>F. 정보 우선순위</x:v>
      </x:c>
      <x:c r="B122" s="382" t="str">
        <x:v>한곳에서 보고 싶은 정보</x:v>
      </x:c>
      <x:c r="C122" s="382" t="str">
        <x:v>더 유리한 이용방법</x:v>
      </x:c>
      <x:c r="D122" s="383" t="n">
        <x:f>SUM('06_집계도우미'!$C$167,'06_집계도우미'!$C$171,'06_집계도우미'!$C$172,'06_집계도우미'!$C$173,'06_집계도우미'!$C$174,'06_집계도우미'!$C$175,'06_집계도우미'!$C$179,'06_집계도우미'!$C$181,'06_집계도우미'!$C$182,'06_집계도우미'!$C$184,'06_집계도우미'!$C$185,'06_집계도우미'!$C$187,'06_집계도우미'!$C$192,'06_집계도우미'!$C$193,'06_집계도우미'!$C$195,'06_집계도우미'!$C$199,'06_집계도우미'!$C$200,'06_집계도우미'!$C$202,'06_집계도우미'!$C$203,'06_집계도우미'!$C$207)</x:f>
        <x:v>41</x:v>
      </x:c>
      <x:c r="E122" s="384" t="n">
        <x:f>SUM('06_집계도우미'!$C$167,'06_집계도우미'!$C$171,'06_집계도우미'!$C$172,'06_집계도우미'!$C$173,'06_집계도우미'!$C$174,'06_집계도우미'!$C$175,'06_집계도우미'!$C$179,'06_집계도우미'!$C$181,'06_집계도우미'!$C$182,'06_집계도우미'!$C$184,'06_집계도우미'!$C$185,'06_집계도우미'!$C$187,'06_집계도우미'!$C$192,'06_집계도우미'!$C$193,'06_집계도우미'!$C$195,'06_집계도우미'!$C$199,'06_집계도우미'!$C$200,'06_집계도우미'!$C$202,'06_집계도우미'!$C$203,'06_집계도우미'!$C$207)/COUNTA('04_원본응답'!$X$2:$X$101)</x:f>
        <x:v>0.41</x:v>
      </x:c>
      <x:c r="F122" s="383" t="n">
        <x:f>COUNTA('04_원본응답'!$X$2:$X$101)</x:f>
        <x:v>100</x:v>
      </x:c>
      <x:c r="G122" s="382" t="str">
        <x:v>복수선택 · 응답자 기준</x:v>
      </x:c>
    </x:row>
    <x:row r="123" ht="34" customHeight="1">
      <x:c r="A123" s="381" t="str">
        <x:v>F. 정보 우선순위</x:v>
      </x:c>
      <x:c r="B123" s="382" t="str">
        <x:v>한곳에서 보고 싶은 정보</x:v>
      </x:c>
      <x:c r="C123" s="382" t="str">
        <x:v>변경·해지하기 적절한 시점</x:v>
      </x:c>
      <x:c r="D123" s="383" t="n">
        <x:f>SUM('06_집계도우미'!$C$174,'06_집계도우미'!$C$183,'06_집계도우미'!$C$187,'06_집계도우미'!$C$191,'06_집계도우미'!$C$193,'06_집계도우미'!$C$194,'06_집계도우미'!$C$198,'06_집계도우미'!$C$199,'06_집계도우미'!$C$200,'06_집계도우미'!$C$201,'06_집계도우미'!$C$202,'06_집계도우미'!$C$204,'06_집계도우미'!$C$206)</x:f>
        <x:v>20</x:v>
      </x:c>
      <x:c r="E123" s="384" t="n">
        <x:f>SUM('06_집계도우미'!$C$174,'06_집계도우미'!$C$183,'06_집계도우미'!$C$187,'06_집계도우미'!$C$191,'06_집계도우미'!$C$193,'06_집계도우미'!$C$194,'06_집계도우미'!$C$198,'06_집계도우미'!$C$199,'06_집계도우미'!$C$200,'06_집계도우미'!$C$201,'06_집계도우미'!$C$202,'06_집계도우미'!$C$204,'06_집계도우미'!$C$206)/COUNTA('04_원본응답'!$X$2:$X$101)</x:f>
        <x:v>0.2</x:v>
      </x:c>
      <x:c r="F123" s="383" t="n">
        <x:f>COUNTA('04_원본응답'!$X$2:$X$101)</x:f>
        <x:v>100</x:v>
      </x:c>
      <x:c r="G123" s="382" t="str">
        <x:v>복수선택 · 응답자 기준</x:v>
      </x:c>
    </x:row>
    <x:row r="124" ht="34" customHeight="1">
      <x:c r="A124" s="381" t="str">
        <x:v>F. 정보 우선순위</x:v>
      </x:c>
      <x:c r="B124" s="382" t="str">
        <x:v>한곳에서 보고 싶은 정보</x:v>
      </x:c>
      <x:c r="C124" s="382" t="str">
        <x:v>공동 구독 상품 및 정산정보</x:v>
      </x:c>
      <x:c r="D124" s="383" t="n">
        <x:f>SUM('06_집계도우미'!$C$169,'06_집계도우미'!$C$174,'06_집계도우미'!$C$180,'06_집계도우미'!$C$185,'06_집계도우미'!$C$192,'06_집계도우미'!$C$195,'06_집계도우미'!$C$205,'06_집계도우미'!$C$207)</x:f>
        <x:v>10</x:v>
      </x:c>
      <x:c r="E124" s="384" t="n">
        <x:f>SUM('06_집계도우미'!$C$169,'06_집계도우미'!$C$174,'06_집계도우미'!$C$180,'06_집계도우미'!$C$185,'06_집계도우미'!$C$192,'06_집계도우미'!$C$195,'06_집계도우미'!$C$205,'06_집계도우미'!$C$207)/COUNTA('04_원본응답'!$X$2:$X$101)</x:f>
        <x:v>0.1</x:v>
      </x:c>
      <x:c r="F124" s="383" t="n">
        <x:f>COUNTA('04_원본응답'!$X$2:$X$101)</x:f>
        <x:v>100</x:v>
      </x:c>
      <x:c r="G124" s="382" t="str">
        <x:v>복수선택 · 응답자 기준</x:v>
      </x:c>
    </x:row>
    <x:row r="125" ht="34" customHeight="1">
      <x:c r="A125" s="381" t="str">
        <x:v>F. 정보 우선순위</x:v>
      </x:c>
      <x:c r="B125" s="382" t="str">
        <x:v>한곳에서 보고 싶은 정보</x:v>
      </x:c>
      <x:c r="C125" s="382" t="str">
        <x:v>별로 필요하지 않음</x:v>
      </x:c>
      <x:c r="D125" s="383" t="n">
        <x:f>'06_집계도우미'!$C$190</x:f>
        <x:v>3</x:v>
      </x:c>
      <x:c r="E125" s="384" t="n">
        <x:f>'06_집계도우미'!$C$190/COUNTA('04_원본응답'!$X$2:$X$101)</x:f>
        <x:v>0.03</x:v>
      </x:c>
      <x:c r="F125" s="383" t="n">
        <x:f>COUNTA('04_원본응답'!$X$2:$X$101)</x:f>
        <x:v>100</x:v>
      </x:c>
      <x:c r="G125" s="382" t="str">
        <x:v>복수선택 · 응답자 기준</x:v>
      </x:c>
    </x:row>
    <x:row r="126" ht="34" customHeight="1">
      <x:c r="A126" s="381" t="str">
        <x:v>F. 정보 우선순위</x:v>
      </x:c>
      <x:c r="B126" s="382" t="str">
        <x:v>미리 받고 싶은 알림</x:v>
      </x:c>
      <x:c r="C126" s="382" t="str">
        <x:v>무료체험 종료·자동갱신 전</x:v>
      </x:c>
      <x:c r="D126" s="383" t="n">
        <x:f>SUM('06_집계도우미'!$C$208,'06_집계도우미'!$C$209,'06_집계도우미'!$C$210,'06_집계도우미'!$C$211,'06_집계도우미'!$C$212,'06_집계도우미'!$C$213,'06_집계도우미'!$C$214,'06_집계도우미'!$C$216,'06_집계도우미'!$C$217,'06_집계도우미'!$C$218,'06_집계도우미'!$C$219,'06_집계도우미'!$C$221,'06_집계도우미'!$C$225,'06_집계도우미'!$C$227,'06_집계도우미'!$C$229,'06_집계도우미'!$C$231,'06_집계도우미'!$C$232,'06_집계도우미'!$C$234,'06_집계도우미'!$C$235,'06_집계도우미'!$C$237,'06_집계도우미'!$C$238,'06_집계도우미'!$C$239,'06_집계도우미'!$C$240,'06_집계도우미'!$C$241,'06_집계도우미'!$C$243)</x:f>
        <x:v>69</x:v>
      </x:c>
      <x:c r="E126" s="384" t="n">
        <x:f>SUM('06_집계도우미'!$C$208,'06_집계도우미'!$C$209,'06_집계도우미'!$C$210,'06_집계도우미'!$C$211,'06_집계도우미'!$C$212,'06_집계도우미'!$C$213,'06_집계도우미'!$C$214,'06_집계도우미'!$C$216,'06_집계도우미'!$C$217,'06_집계도우미'!$C$218,'06_집계도우미'!$C$219,'06_집계도우미'!$C$221,'06_집계도우미'!$C$225,'06_집계도우미'!$C$227,'06_집계도우미'!$C$229,'06_집계도우미'!$C$231,'06_집계도우미'!$C$232,'06_집계도우미'!$C$234,'06_집계도우미'!$C$235,'06_집계도우미'!$C$237,'06_집계도우미'!$C$238,'06_집계도우미'!$C$239,'06_집계도우미'!$C$240,'06_집계도우미'!$C$241,'06_집계도우미'!$C$243)/COUNTA('04_원본응답'!$Y$2:$Y$101)</x:f>
        <x:v>0.69</x:v>
      </x:c>
      <x:c r="F126" s="383" t="n">
        <x:f>COUNTA('04_원본응답'!$Y$2:$Y$101)</x:f>
        <x:v>100</x:v>
      </x:c>
      <x:c r="G126" s="382" t="str">
        <x:v>설문 중 보기 문구 변경분 통합</x:v>
      </x:c>
    </x:row>
    <x:row r="127" ht="34" customHeight="1">
      <x:c r="A127" s="381" t="str">
        <x:v>F. 정보 우선순위</x:v>
      </x:c>
      <x:c r="B127" s="382" t="str">
        <x:v>미리 받고 싶은 알림</x:v>
      </x:c>
      <x:c r="C127" s="382" t="str">
        <x:v>다음 결제 전</x:v>
      </x:c>
      <x:c r="D127" s="383" t="n">
        <x:f>SUM('06_집계도우미'!$C$208,'06_집계도우미'!$C$209,'06_집계도우미'!$C$210,'06_집계도우미'!$C$211)</x:f>
        <x:v>4</x:v>
      </x:c>
      <x:c r="E127" s="384" t="n">
        <x:f>SUM('06_집계도우미'!$C$208,'06_집계도우미'!$C$209,'06_집계도우미'!$C$210,'06_집계도우미'!$C$211)/COUNTA('04_원본응답'!$Y$2:$Y$101)</x:f>
        <x:v>0.04</x:v>
      </x:c>
      <x:c r="F127" s="383" t="n">
        <x:f>COUNTA('04_원본응답'!$Y$2:$Y$101)</x:f>
        <x:v>100</x:v>
      </x:c>
      <x:c r="G127" s="382" t="str">
        <x:v>복수선택 · 응답자 기준</x:v>
      </x:c>
    </x:row>
    <x:row r="128" ht="34" customHeight="1">
      <x:c r="A128" s="381" t="str">
        <x:v>F. 정보 우선순위</x:v>
      </x:c>
      <x:c r="B128" s="382" t="str">
        <x:v>미리 받고 싶은 알림</x:v>
      </x:c>
      <x:c r="C128" s="382" t="str">
        <x:v>혜택 사용기간 종료 전</x:v>
      </x:c>
      <x:c r="D128" s="383" t="n">
        <x:f>SUM('06_집계도우미'!$C$208,'06_집계도우미'!$C$213,'06_집계도우미'!$C$214,'06_집계도우미'!$C$219,'06_집계도우미'!$C$220,'06_집계도우미'!$C$221,'06_집계도우미'!$C$224,'06_집계도우미'!$C$226,'06_집계도우미'!$C$227,'06_집계도우미'!$C$232,'06_집계도우미'!$C$234,'06_집계도우미'!$C$239,'06_집계도우미'!$C$243)</x:f>
        <x:v>37</x:v>
      </x:c>
      <x:c r="E128" s="384" t="n">
        <x:f>SUM('06_집계도우미'!$C$208,'06_집계도우미'!$C$213,'06_집계도우미'!$C$214,'06_집계도우미'!$C$219,'06_집계도우미'!$C$220,'06_집계도우미'!$C$221,'06_집계도우미'!$C$224,'06_집계도우미'!$C$226,'06_집계도우미'!$C$227,'06_집계도우미'!$C$232,'06_집계도우미'!$C$234,'06_집계도우미'!$C$239,'06_집계도우미'!$C$243)/COUNTA('04_원본응답'!$Y$2:$Y$101)</x:f>
        <x:v>0.37</x:v>
      </x:c>
      <x:c r="F128" s="383" t="n">
        <x:f>COUNTA('04_원본응답'!$Y$2:$Y$101)</x:f>
        <x:v>100</x:v>
      </x:c>
      <x:c r="G128" s="382" t="str">
        <x:v>복수선택 · 응답자 기준</x:v>
      </x:c>
    </x:row>
    <x:row r="129" ht="34" customHeight="1">
      <x:c r="A129" s="381" t="str">
        <x:v>F. 정보 우선순위</x:v>
      </x:c>
      <x:c r="B129" s="382" t="str">
        <x:v>미리 받고 싶은 알림</x:v>
      </x:c>
      <x:c r="C129" s="382" t="str">
        <x:v>통신·인터넷 약정 종료 전</x:v>
      </x:c>
      <x:c r="D129" s="383" t="n">
        <x:f>SUM('06_집계도우미'!$C$211,'06_집계도우미'!$C$213,'06_집계도우미'!$C$214,'06_집계도우미'!$C$217,'06_집계도우미'!$C$219,'06_집계도우미'!$C$225,'06_집계도우미'!$C$228,'06_집계도우미'!$C$232,'06_집계도우미'!$C$233,'06_집계도우미'!$C$235,'06_집계도우미'!$C$237,'06_집계도우미'!$C$238,'06_집계도우미'!$C$243)</x:f>
        <x:v>22</x:v>
      </x:c>
      <x:c r="E129" s="384" t="n">
        <x:f>SUM('06_집계도우미'!$C$211,'06_집계도우미'!$C$213,'06_집계도우미'!$C$214,'06_집계도우미'!$C$217,'06_집계도우미'!$C$219,'06_집계도우미'!$C$225,'06_집계도우미'!$C$228,'06_집계도우미'!$C$232,'06_집계도우미'!$C$233,'06_집계도우미'!$C$235,'06_집계도우미'!$C$237,'06_집계도우미'!$C$238,'06_집계도우미'!$C$243)/COUNTA('04_원본응답'!$Y$2:$Y$101)</x:f>
        <x:v>0.22</x:v>
      </x:c>
      <x:c r="F129" s="383" t="n">
        <x:f>COUNTA('04_원본응답'!$Y$2:$Y$101)</x:f>
        <x:v>100</x:v>
      </x:c>
      <x:c r="G129" s="382" t="str">
        <x:v>복수선택 · 응답자 기준</x:v>
      </x:c>
    </x:row>
    <x:row r="130" ht="34" customHeight="1">
      <x:c r="A130" s="381" t="str">
        <x:v>F. 정보 우선순위</x:v>
      </x:c>
      <x:c r="B130" s="382" t="str">
        <x:v>미리 받고 싶은 알림</x:v>
      </x:c>
      <x:c r="C130" s="382" t="str">
        <x:v>가격 인상 적용 전</x:v>
      </x:c>
      <x:c r="D130" s="383" t="n">
        <x:f>SUM('06_집계도우미'!$C$210,'06_집계도우미'!$C$211,'06_집계도우미'!$C$212,'06_집계도우미'!$C$213,'06_집계도우미'!$C$214,'06_집계도우미'!$C$215,'06_집계도우미'!$C$217,'06_집계도우미'!$C$218,'06_집계도우미'!$C$220,'06_집계도우미'!$C$221,'06_집계도우미'!$C$226,'06_집계도우미'!$C$227,'06_집계도우미'!$C$228,'06_집계도우미'!$C$232,'06_집계도우미'!$C$235,'06_집계도우미'!$C$240,'06_집계도우미'!$C$241,'06_집계도우미'!$C$242)</x:f>
        <x:v>37</x:v>
      </x:c>
      <x:c r="E130" s="384" t="n">
        <x:f>SUM('06_집계도우미'!$C$210,'06_집계도우미'!$C$211,'06_집계도우미'!$C$212,'06_집계도우미'!$C$213,'06_집계도우미'!$C$214,'06_집계도우미'!$C$215,'06_집계도우미'!$C$217,'06_집계도우미'!$C$218,'06_집계도우미'!$C$220,'06_집계도우미'!$C$221,'06_집계도우미'!$C$226,'06_집계도우미'!$C$227,'06_집계도우미'!$C$228,'06_집계도우미'!$C$232,'06_집계도우미'!$C$235,'06_집계도우미'!$C$240,'06_집계도우미'!$C$241,'06_집계도우미'!$C$242)/COUNTA('04_원본응답'!$Y$2:$Y$101)</x:f>
        <x:v>0.37</x:v>
      </x:c>
      <x:c r="F130" s="383" t="n">
        <x:f>COUNTA('04_원본응답'!$Y$2:$Y$101)</x:f>
        <x:v>100</x:v>
      </x:c>
      <x:c r="G130" s="382" t="str">
        <x:v>복수선택 · 응답자 기준</x:v>
      </x:c>
    </x:row>
    <x:row r="131" ht="34" customHeight="1">
      <x:c r="A131" s="381" t="str">
        <x:v>F. 정보 우선순위</x:v>
      </x:c>
      <x:c r="B131" s="382" t="str">
        <x:v>미리 받고 싶은 알림</x:v>
      </x:c>
      <x:c r="C131" s="382" t="str">
        <x:v>보유 혜택과 별도 구독이 겹칠 가능성이 있을 때</x:v>
      </x:c>
      <x:c r="D131" s="383" t="n">
        <x:f>SUM('06_집계도우미'!$C$208,'06_집계도우미'!$C$210,'06_집계도우미'!$C$213,'06_집계도우미'!$C$214,'06_집계도우미'!$C$215,'06_집계도우미'!$C$218,'06_집계도우미'!$C$219,'06_집계도우미'!$C$220,'06_집계도우미'!$C$221,'06_집계도우미'!$C$229,'06_집계도우미'!$C$230,'06_집계도우미'!$C$235,'06_집계도우미'!$C$236,'06_집계도우미'!$C$238,'06_집계도우미'!$C$239)</x:f>
        <x:v>37</x:v>
      </x:c>
      <x:c r="E131" s="384" t="n">
        <x:f>SUM('06_집계도우미'!$C$208,'06_집계도우미'!$C$210,'06_집계도우미'!$C$213,'06_집계도우미'!$C$214,'06_집계도우미'!$C$215,'06_집계도우미'!$C$218,'06_집계도우미'!$C$219,'06_집계도우미'!$C$220,'06_집계도우미'!$C$221,'06_집계도우미'!$C$229,'06_집계도우미'!$C$230,'06_집계도우미'!$C$235,'06_집계도우미'!$C$236,'06_집계도우미'!$C$238,'06_집계도우미'!$C$239)/COUNTA('04_원본응답'!$Y$2:$Y$101)</x:f>
        <x:v>0.37</x:v>
      </x:c>
      <x:c r="F131" s="383" t="n">
        <x:f>COUNTA('04_원본응답'!$Y$2:$Y$101)</x:f>
        <x:v>100</x:v>
      </x:c>
      <x:c r="G131" s="382" t="str">
        <x:v>복수선택 · 응답자 기준</x:v>
      </x:c>
    </x:row>
    <x:row r="132" ht="34" customHeight="1">
      <x:c r="A132" s="381" t="str">
        <x:v>F. 정보 우선순위</x:v>
      </x:c>
      <x:c r="B132" s="382" t="str">
        <x:v>미리 받고 싶은 알림</x:v>
      </x:c>
      <x:c r="C132" s="382" t="str">
        <x:v>공동 구독 정산 시점</x:v>
      </x:c>
      <x:c r="D132" s="383" t="n">
        <x:f>SUM('06_집계도우미'!$C$211,'06_집계도우미'!$C$213,'06_집계도우미'!$C$223,'06_집계도우미'!$C$225,'06_집계도우미'!$C$230,'06_집계도우미'!$C$231,'06_집계도우미'!$C$241)</x:f>
        <x:v>11</x:v>
      </x:c>
      <x:c r="E132" s="384" t="n">
        <x:f>SUM('06_집계도우미'!$C$211,'06_집계도우미'!$C$213,'06_집계도우미'!$C$223,'06_집계도우미'!$C$225,'06_집계도우미'!$C$230,'06_집계도우미'!$C$231,'06_집계도우미'!$C$241)/COUNTA('04_원본응답'!$Y$2:$Y$101)</x:f>
        <x:v>0.11</x:v>
      </x:c>
      <x:c r="F132" s="383" t="n">
        <x:f>COUNTA('04_원본응답'!$Y$2:$Y$101)</x:f>
        <x:v>100</x:v>
      </x:c>
      <x:c r="G132" s="382" t="str">
        <x:v>복수선택 · 응답자 기준</x:v>
      </x:c>
    </x:row>
    <x:row r="133" ht="34" customHeight="1">
      <x:c r="A133" s="381" t="str">
        <x:v>F. 정보 우선순위</x:v>
      </x:c>
      <x:c r="B133" s="382" t="str">
        <x:v>미리 받고 싶은 알림</x:v>
      </x:c>
      <x:c r="C133" s="382" t="str">
        <x:v>알림이 필요하지 않음</x:v>
      </x:c>
      <x:c r="D133" s="383" t="n">
        <x:f>'06_집계도우미'!$C$222</x:f>
        <x:v>7</x:v>
      </x:c>
      <x:c r="E133" s="384" t="n">
        <x:f>'06_집계도우미'!$C$222/COUNTA('04_원본응답'!$Y$2:$Y$101)</x:f>
        <x:v>0.07</x:v>
      </x:c>
      <x:c r="F133" s="383" t="n">
        <x:f>COUNTA('04_원본응답'!$Y$2:$Y$101)</x:f>
        <x:v>100</x:v>
      </x:c>
      <x:c r="G133" s="382" t="str">
        <x:v>복수선택 · 응답자 기준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f4ea7ef68f0443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85" hidden="0" customWidth="1"/>
    <x:col min="4" max="4" width="34" hidden="0" customWidth="1"/>
  </x:cols>
  <x:sheetData>
    <x:row r="1" ht="30" customHeight="1">
      <x:c r="A1" s="305" t="str">
        <x:v>자유응답 원문</x:v>
      </x:c>
      <x:c r="B1" s="305"/>
      <x:c r="C1" s="305"/>
      <x:c r="D1" s="305"/>
    </x:row>
    <x:row r="2" ht="30" customHeight="1">
      <x:c r="A2" s="305"/>
      <x:c r="B2" s="305"/>
      <x:c r="C2" s="305"/>
      <x:c r="D2" s="305"/>
    </x:row>
    <x:row r="3" ht="24" customHeight="1">
      <x:c r="A3" s="306" t="str">
        <x:v>선택형 문항으로 설명되지 않는 요구를 확인할 수 있도록 원문을 그대로 수록</x:v>
      </x:c>
      <x:c r="B3" s="306"/>
      <x:c r="C3" s="306"/>
      <x:c r="D3" s="306"/>
    </x:row>
    <x:row r="4">
      <x:c r="A4" s="307"/>
      <x:c r="B4" s="307"/>
      <x:c r="C4" s="307"/>
      <x:c r="D4" s="307"/>
    </x:row>
    <x:row r="5">
      <x:c r="A5" s="340" t="str">
        <x:v>응답번호</x:v>
      </x:c>
      <x:c r="B5" s="360" t="str">
        <x:v>응답시각</x:v>
      </x:c>
      <x:c r="C5" s="360" t="str">
        <x:v>자유응답 원문</x:v>
      </x:c>
      <x:c r="D5" s="341" t="str">
        <x:v>활용 시 주의</x:v>
      </x:c>
    </x:row>
    <x:row r="6" ht="58" customHeight="1">
      <x:c r="A6" s="361" t="n">
        <x:v>1</x:v>
      </x:c>
      <x:c r="B6" s="385" t="n">
        <x:f>'04_원본응답'!A2</x:f>
        <x:v>46255.71697516204</x:v>
      </x:c>
      <x:c r="C6" s="361" t="str">
        <x:f>'04_원본응답'!Z2</x:f>
        <x:v>너무 구독하는 서비스가 너무 많아서 체계적으로 정리된게 있으면 좋겠고 종류별로 묶으면 좋겠습니다</x:v>
      </x:c>
      <x:c r="D6" s="361" t="str">
        <x:v>개별 의견이며 정량 결과로 일반화하지 않음</x:v>
      </x:c>
    </x:row>
    <x:row r="7" ht="58" customHeight="1">
      <x:c r="A7" s="363" t="n">
        <x:v>2</x:v>
      </x:c>
      <x:c r="B7" s="386" t="n">
        <x:f>'04_원본응답'!A8</x:f>
        <x:v>46255.72382046296</x:v>
      </x:c>
      <x:c r="C7" s="363" t="str">
        <x:f>'04_원본응답'!Z8</x:f>
        <x:v>내가 비효율적으로 나가고 있는 구독이 있을 시 알려줬으면 좋겠다</x:v>
      </x:c>
      <x:c r="D7" s="363" t="str">
        <x:v>개별 의견이며 정량 결과로 일반화하지 않음</x:v>
      </x:c>
    </x:row>
    <x:row r="8" ht="58" customHeight="1">
      <x:c r="A8" s="363" t="n">
        <x:v>3</x:v>
      </x:c>
      <x:c r="B8" s="386" t="n">
        <x:f>'04_원본응답'!A13</x:f>
        <x:v>46255.72723039352</x:v>
      </x:c>
      <x:c r="C8" s="363" t="str">
        <x:f>'04_원본응답'!Z13</x:f>
        <x:v>구독갯수,가격,비교분석 한번에 한눈에 보기쉽게</x:v>
      </x:c>
      <x:c r="D8" s="363" t="str">
        <x:v>개별 의견이며 정량 결과로 일반화하지 않음</x:v>
      </x:c>
    </x:row>
    <x:row r="9" ht="58" customHeight="1">
      <x:c r="A9" s="363" t="n">
        <x:v>4</x:v>
      </x:c>
      <x:c r="B9" s="386" t="n">
        <x:f>'04_원본응답'!A19</x:f>
        <x:v>46255.72917543982</x:v>
      </x:c>
      <x:c r="C9" s="363" t="str">
        <x:f>'04_원본응답'!Z19</x:f>
        <x:v>갱신 시점이나 인상 시점 같은 정보들의 신뢰가 높았으면 좋겠어요</x:v>
      </x:c>
      <x:c r="D9" s="363" t="str">
        <x:v>개별 의견이며 정량 결과로 일반화하지 않음</x:v>
      </x:c>
    </x:row>
    <x:row r="10" ht="58" customHeight="1">
      <x:c r="A10" s="363" t="n">
        <x:v>5</x:v>
      </x:c>
      <x:c r="B10" s="386" t="n">
        <x:f>'04_원본응답'!A24</x:f>
        <x:v>46255.73473251157</x:v>
      </x:c>
      <x:c r="C10" s="363" t="str">
        <x:f>'04_원본응답'!Z24</x:f>
        <x:v>한어플로 현재 구독중인 서비스 및 결제일 , 금액 등이 확인이 되며, 관리또한 가능한 어플이 있었으면 좋겠습니다</x:v>
      </x:c>
      <x:c r="D10" s="363" t="str">
        <x:v>개별 의견이며 정량 결과로 일반화하지 않음</x:v>
      </x:c>
    </x:row>
    <x:row r="11" ht="58" customHeight="1">
      <x:c r="A11" s="363" t="n">
        <x:v>6</x:v>
      </x:c>
      <x:c r="B11" s="386" t="n">
        <x:f>'04_원본응답'!A29</x:f>
        <x:v>46255.73842100694</x:v>
      </x:c>
      <x:c r="C11" s="363" t="str">
        <x:f>'04_원본응답'!Z29</x:f>
        <x:v>더 좋은 구독 할인 적용에 대한 정보가 있으면 좋을 것 같으나,
요즘 제가 사용하는 구독 할인 사이트(ex. 유튜브 프리미엄 구독 할인 적용 서비스)의 경우
신뢰도가 떨어지긴 하지만 가격이 매력적이라 사용하는 거라 그에 대한 개선이 있으면 좋지 않을까라는 개인적인 생각을 해봤습니다</x:v>
      </x:c>
      <x:c r="D11" s="363" t="str">
        <x:v>개별 의견이며 정량 결과로 일반화하지 않음</x:v>
      </x:c>
    </x:row>
    <x:row r="12" ht="58" customHeight="1">
      <x:c r="A12" s="363" t="n">
        <x:v>7</x:v>
      </x:c>
      <x:c r="B12" s="386" t="n">
        <x:f>'04_원본응답'!A32</x:f>
        <x:v>46255.74052028936</x:v>
      </x:c>
      <x:c r="C12" s="363" t="str">
        <x:f>'04_원본응답'!Z32</x:f>
        <x:v>이용하고 있는 서비스를 한눈에 볼수 있었으면 좋겠다</x:v>
      </x:c>
      <x:c r="D12" s="363" t="str">
        <x:v>개별 의견이며 정량 결과로 일반화하지 않음</x:v>
      </x:c>
    </x:row>
    <x:row r="13" ht="58" customHeight="1">
      <x:c r="A13" s="363" t="n">
        <x:v>8</x:v>
      </x:c>
      <x:c r="B13" s="386" t="n">
        <x:f>'04_원본응답'!A35</x:f>
        <x:v>46255.74217524305</x:v>
      </x:c>
      <x:c r="C13" s="363" t="str">
        <x:f>'04_원본응답'!Z35</x:f>
        <x:v>구독서비스 통합관리 시스템 만들어주세요 </x:v>
      </x:c>
      <x:c r="D13" s="363" t="str">
        <x:v>개별 의견이며 정량 결과로 일반화하지 않음</x:v>
      </x:c>
    </x:row>
    <x:row r="14" ht="58" customHeight="1">
      <x:c r="A14" s="363" t="n">
        <x:v>9</x:v>
      </x:c>
      <x:c r="B14" s="386" t="n">
        <x:f>'04_원본응답'!A36</x:f>
        <x:v>46255.74230380787</x:v>
      </x:c>
      <x:c r="C14" s="363" t="str">
        <x:f>'04_원본응답'!Z36</x:f>
        <x:v>따로 결제하기 너무 귀찮다 구독 관리 가능한 어플을 만들어 원클릭 한번에 결제 가능하면 참 편할 것 같다 생각함 </x:v>
      </x:c>
      <x:c r="D14" s="363" t="str">
        <x:v>개별 의견이며 정량 결과로 일반화하지 않음</x:v>
      </x:c>
    </x:row>
    <x:row r="15" ht="58" customHeight="1">
      <x:c r="A15" s="363" t="n">
        <x:v>10</x:v>
      </x:c>
      <x:c r="B15" s="386" t="n">
        <x:f>'04_원본응답'!A48</x:f>
        <x:v>46255.75104207176</x:v>
      </x:c>
      <x:c r="C15" s="363" t="str">
        <x:f>'04_원본응답'!Z48</x:f>
        <x:v>결제수단 한눈에관리</x:v>
      </x:c>
      <x:c r="D15" s="363" t="str">
        <x:v>개별 의견이며 정량 결과로 일반화하지 않음</x:v>
      </x:c>
    </x:row>
    <x:row r="16" ht="58" customHeight="1">
      <x:c r="A16" s="363" t="n">
        <x:v>11</x:v>
      </x:c>
      <x:c r="B16" s="386" t="n">
        <x:f>'04_원본응답'!A65</x:f>
        <x:v>46255.79147081019</x:v>
      </x:c>
      <x:c r="C16" s="363" t="str">
        <x:f>'04_원본응답'!Z65</x:f>
        <x:v>피클플러스 앱을 이용하고 있어서 편한데 문제는 매달 결제일에 알림 기능이 없어요..</x:v>
      </x:c>
      <x:c r="D16" s="363" t="str">
        <x:v>개별 의견이며 정량 결과로 일반화하지 않음</x:v>
      </x:c>
    </x:row>
    <x:row r="17" ht="58" customHeight="1">
      <x:c r="A17" s="363" t="n">
        <x:v>12</x:v>
      </x:c>
      <x:c r="B17" s="386" t="n">
        <x:f>'04_원본응답'!A77</x:f>
        <x:v>46255.83393392361</x:v>
      </x:c>
      <x:c r="C17" s="363" t="str">
        <x:f>'04_원본응답'!Z77</x:f>
        <x:v>얼마나 사용하지는 시간체크를 기반으로, 구독료계산해서 알려줬으면 좋겠음 이거 굳이 필요한가?
그리고, OTT의경우 자동으로 업데이트될 콘텐츠와 날짜알려쥬는 알럼같운거</x:v>
      </x:c>
      <x:c r="D17" s="363" t="str">
        <x:v>개별 의견이며 정량 결과로 일반화하지 않음</x:v>
      </x:c>
    </x:row>
    <x:row r="18" ht="58" customHeight="1">
      <x:c r="A18" s="363" t="n">
        <x:v>13</x:v>
      </x:c>
      <x:c r="B18" s="386" t="n">
        <x:f>'04_원본응답'!A97</x:f>
        <x:v>46257.70180684028</x:v>
      </x:c>
      <x:c r="C18" s="363" t="str">
        <x:f>'04_원본응답'!Z97</x:f>
        <x:v>내가 낸 결제 들 모아서 한번에 월 얼마  혜택  한눈이.볼수잇게 자동정리 잇엇으면 좋겟네요</x:v>
      </x:c>
      <x:c r="D18" s="363" t="str">
        <x:v>개별 의견이며 정량 결과로 일반화하지 않음</x:v>
      </x:c>
    </x:row>
  </x:sheetData>
  <x:mergeCells>
    <x:mergeCell ref="A1:D2"/>
    <x:mergeCell ref="A3:D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7" hidden="0" customWidth="1"/>
    <x:col min="4" max="4" width="20" hidden="0" customWidth="1"/>
    <x:col min="5" max="5" width="38" hidden="0" customWidth="1"/>
    <x:col min="6" max="6" width="18" hidden="0" customWidth="1"/>
    <x:col min="7" max="7" width="28" hidden="0" customWidth="1"/>
    <x:col min="8" max="8" width="27" hidden="0" customWidth="1"/>
    <x:col min="9" max="9" width="30" hidden="0" customWidth="1"/>
    <x:col min="10" max="10" width="28" hidden="0" customWidth="1"/>
    <x:col min="11" max="11" width="25" hidden="0" customWidth="1"/>
    <x:col min="12" max="12" width="28" hidden="0" customWidth="1"/>
    <x:col min="13" max="13" width="35" hidden="0" customWidth="1"/>
    <x:col min="14" max="14" width="38" hidden="0" customWidth="1"/>
    <x:col min="15" max="15" width="22" hidden="0" customWidth="1"/>
    <x:col min="16" max="16" width="26" hidden="0" customWidth="1"/>
    <x:col min="17" max="17" width="25" hidden="0" customWidth="1"/>
    <x:col min="18" max="18" width="22" hidden="0" customWidth="1"/>
    <x:col min="19" max="19" width="26" hidden="0" customWidth="1"/>
    <x:col min="20" max="20" width="23" hidden="0" customWidth="1"/>
    <x:col min="21" max="21" width="25" hidden="0" customWidth="1"/>
    <x:col min="22" max="22" width="42" hidden="0" customWidth="1"/>
    <x:col min="23" max="23" width="28" hidden="0" customWidth="1"/>
    <x:col min="24" max="24" width="42" hidden="0" customWidth="1"/>
    <x:col min="25" max="25" width="42" hidden="0" customWidth="1"/>
    <x:col min="26" max="26" width="55" hidden="0" customWidth="1"/>
  </x:cols>
  <x:sheetData>
    <x:row r="1" ht="82" customHeight="1">
      <x:c r="A1" s="340" t="str">
        <x:v>타임스탬프</x:v>
      </x:c>
      <x:c r="B1" s="360" t="str">
        <x:v>연령대</x:v>
      </x:c>
      <x:c r="C1" s="360" t="str">
        <x:v>직업/고용형태</x:v>
      </x:c>
      <x:c r="D1" s="360" t="str">
        <x:v>현재 유료로 이용 중인 구독·멤버십·통신 관련 상품은 총 몇 개인가요?</x:v>
      </x:c>
      <x:c r="E1" s="360" t="str">
        <x:v>현재 이용 중인 상품 유형을 모두 선택해주세요.</x:v>
      </x:c>
      <x:c r="F1" s="360" t="str">
        <x:v>월평균 구독·멤버십 관련 지출액은 어느 정도인가요?</x:v>
      </x:c>
      <x:c r="G1" s="360" t="str">
        <x:v>1. 현재 이용 중인 통신요금제·멤버십·결합상품에 어떤 혜택이 포함되어 있는지 얼마나 알고 있나요?</x:v>
      </x:c>
      <x:c r="H1" s="360" t="str">
        <x:v>2. 상품 가입 후, 놓치고 있던 혜택을 뒤늦게 알게된 경험이 있나요?</x:v>
      </x:c>
      <x:c r="I1" s="360" t="str">
        <x:v>3. 내가 받을 수 있는 혜택이나 적용 조건을 확인하기 위해 여러 앱·웹사이트를 찾아본 경험이 있나요?</x:v>
      </x:c>
      <x:c r="J1" s="360" t="str">
        <x:v>4. 필요한 혜택이나 이용 조건을 직접 확인해야 할 때, 그 과정이 얼마나 번거롭다고 느끼나요?</x:v>
      </x:c>
      <x:c r="K1" s="360" t="str">
        <x:v>1. 최근 1년 동안 다음과 같은 경험이 있었나요?</x:v>
      </x:c>
      <x:c r="L1" s="360" t="str">
        <x:v>1. 현재 이용 중인 서비스의 결제일·갱신일·혜택 만료일 등을 어느 정도 알고 있나요?  </x:v>
      </x:c>
      <x:c r="M1" s="360" t="str">
        <x:v>2. 현재 결제일·갱신일·혜택 만료일 등을 어떻게 관리하고 있나요?  </x:v>
      </x:c>
      <x:c r="N1" s="360" t="str">
        <x:v>3. 최근 1년 동안 다음 시점을 놓치거나 뒤늦게 알게 된 경험이 있나요?  (복수 선택)</x:v>
      </x:c>
      <x:c r="O1" s="360" t="str">
        <x:v>4. 구독·멤버십 관련 일정을 캘린더나 일정관리 앱에 직접 등록해본 적이 있나요?  </x:v>
      </x:c>
      <x:c r="P1" s="360" t="str">
        <x:v>1. 없다면 가장 큰 이유는 무엇인가요?  </x:v>
      </x:c>
      <x:c r="Q1" s="360" t="str">
        <x:v>1. 있다면 어떤 일정을 등록했나요?  </x:v>
      </x:c>
      <x:c r="R1" s="360" t="str">
        <x:v>1. 현재 가족·연인·친구 등 다른 사람과 함께 이용하는 유료 구독이 있나요?</x:v>
      </x:c>
      <x:c r="S1" s="360" t="str">
        <x:v>2. 공동 구독 비용은 주로 어떻게 관리하나요?  </x:v>
      </x:c>
      <x:c r="T1" s="360" t="str">
        <x:v>3. 공동 구독을 관리하면서 불편했던 경험이 있나요?</x:v>
      </x:c>
      <x:c r="U1" s="360" t="str">
        <x:v>4. 가장 불편했던 점이 있다면 무엇인가요?  </x:v>
      </x:c>
      <x:c r="V1" s="360" t="str">
        <x:v>1. 구독·멤버십을 관리하면서 가장 불편했던 점을 선택해주세요.  </x:v>
      </x:c>
      <x:c r="W1" s="360" t="str">
        <x:v>2. 구독료가 부담되거나 필요성이 낮다고 느꼈을 때 최근 실제로 한 행동은 무엇인가요?  </x:v>
      </x:c>
      <x:c r="X1" s="360" t="str">
        <x:v>1. 다음 중 한곳에서 확인할 수 있다면 가장 유용할 것 같은 정보를 선택해주세요. (복수 선택)</x:v>
      </x:c>
      <x:c r="Y1" s="360" t="str">
        <x:v>2. 다음 중 미리 알림을 받고 싶은 시점을 선택해주세요. (복수 선택)</x:v>
      </x:c>
      <x:c r="Z1" s="341" t="str">
        <x:v>구독 관리 방면에서 있었으면 하는 서비스나 기능을 자유롭게 작성해주세요. (선택사항)</x:v>
      </x:c>
    </x:row>
    <x:row r="2" ht="42" customHeight="1">
      <x:c r="A2" s="399" t="n">
        <x:v>46255.71697516204</x:v>
      </x:c>
      <x:c r="B2" s="378" t="str">
        <x:v>20대</x:v>
      </x:c>
      <x:c r="C2" s="378" t="str">
        <x:v>기타 (무직 포함)</x:v>
      </x:c>
      <x:c r="D2" s="378" t="str">
        <x:v>7개 이상</x:v>
      </x:c>
      <x:c r="E2" s="378" t="str">
        <x:v>OTT (예: 넷플릭스 등), 생성형 AI (예: GPT 등), 배달 멤버십 (예: 배민클럽 등), 클라우드·생산성 툴 (예: icloud / notion 등)</x:v>
      </x:c>
      <x:c r="F2" s="378" t="str">
        <x:v>5~10만원 이상</x:v>
      </x:c>
      <x:c r="G2" s="378" t="n">
        <x:v>3</x:v>
      </x:c>
      <x:c r="H2" s="378" t="str">
        <x:v>1~2번 있다</x:v>
      </x:c>
      <x:c r="I2" s="378" t="str">
        <x:v>거의 없다</x:v>
      </x:c>
      <x:c r="J2" s="378" t="n">
        <x:v>5</x:v>
      </x:c>
      <x:c r="K2" s="378"/>
      <x:c r="L2" s="378" t="str">
        <x:v>모른다</x:v>
      </x:c>
      <x:c r="M2" s="378" t="str">
        <x:v>기억에 의존, 결제 문자·푸시 알림</x:v>
      </x:c>
      <x:c r="N2" s="378" t="str">
        <x:v>무료체험 종료일, 자동 갱신일, 가격 인상 적용일, 할인 종료일, 통신·인터넷 약정 종료일</x:v>
      </x:c>
      <x:c r="O2" s="378" t="str">
        <x:v>있다</x:v>
      </x:c>
      <x:c r="P2" s="378"/>
      <x:c r="Q2" s="378" t="str">
        <x:v>무료체험 종료일</x:v>
      </x:c>
      <x:c r="R2" s="378" t="str">
        <x:v>4개 이상</x:v>
      </x:c>
      <x:c r="S2" s="378" t="str">
        <x:v>한 명이 전액 부담</x:v>
      </x:c>
      <x:c r="T2" s="378" t="n">
        <x:v>5</x:v>
      </x:c>
      <x:c r="U2" s="378" t="str">
        <x:v>공유 인원 변경</x:v>
      </x:c>
      <x:c r="V2" s="378" t="str">
        <x:v>현재 어떤 상품을 이용 중인지 한눈에 보기 어려움, 매월 총 얼마를 지출하는지 파악하기 어려움, 혜택 적용 조건이 복잡함, 결제일·갱신일을 관리하기 어려움, 기존 상품과 중복되는 구독·혜택을 확인하기 어려움, 여러 앱·사이트를 확인해야 해서 번거로움</x:v>
      </x:c>
      <x:c r="W2" s="378" t="str">
        <x:v>결합·할인상품으로 변경</x:v>
      </x:c>
      <x:c r="X2" s="378" t="str">
        <x:v>현재 이용 중인 전체 구독·멤버십, 이번 달 총 결제 예정금액, 내가 현재 보유한 전체 혜택, 기존 상품과 중복 가능성이 있는 구독·혜택, 더 유리한 이용방법</x:v>
      </x:c>
      <x:c r="Y2" s="378" t="str">
        <x:v>다음 결제 전, 무료체험 종료 전, 혜택 사용기간 종료 전, 보유 혜택과 별도 구독이 겹칠 가능성이 있을 때</x:v>
      </x:c>
      <x:c r="Z2" s="378" t="str">
        <x:v>너무 구독하는 서비스가 너무 많아서 체계적으로 정리된게 있으면 좋겠고 종류별로 묶으면 좋겠습니다</x:v>
      </x:c>
    </x:row>
    <x:row r="3" ht="42" customHeight="1">
      <x:c r="A3" s="400" t="n">
        <x:v>46255.717700243054</x:v>
      </x:c>
      <x:c r="B3" s="382" t="str">
        <x:v>20대</x:v>
      </x:c>
      <x:c r="C3" s="382" t="str">
        <x:v>기타 (무직 포함)</x:v>
      </x:c>
      <x:c r="D3" s="382" t="str">
        <x:v>1~3개</x:v>
      </x:c>
      <x:c r="E3" s="382" t="str">
        <x:v>생성형 AI (예: GPT 등), 음악·전자책·콘텐츠 (예 : Melon 등), 배달 멤버십 (예: 배민클럽 등)</x:v>
      </x:c>
      <x:c r="F3" s="382" t="str">
        <x:v>1~5만원</x:v>
      </x:c>
      <x:c r="G3" s="382" t="n">
        <x:v>3</x:v>
      </x:c>
      <x:c r="H3" s="382" t="str">
        <x:v>가끔 있다</x:v>
      </x:c>
      <x:c r="I3" s="382" t="str">
        <x:v>가끔 있다</x:v>
      </x:c>
      <x:c r="J3" s="382" t="n">
        <x:v>5</x:v>
      </x:c>
      <x:c r="K3" s="382"/>
      <x:c r="L3" s="382" t="str">
        <x:v>모른다</x:v>
      </x:c>
      <x:c r="M3" s="382" t="str">
        <x:v>따로 관리하지 않음, 결제 문자·푸시 알림, 카드·은행 앱 확인</x:v>
      </x:c>
      <x:c r="N3" s="382" t="str">
        <x:v>무료체험 종료일</x:v>
      </x:c>
      <x:c r="O3" s="382" t="str">
        <x:v>없다</x:v>
      </x:c>
      <x:c r="P3" s="382" t="str">
        <x:v>필요성을 못 느낌</x:v>
      </x:c>
      <x:c r="Q3" s="382"/>
      <x:c r="R3" s="382" t="str">
        <x:v>없음</x:v>
      </x:c>
      <x:c r="S3" s="382"/>
      <x:c r="T3" s="382"/>
      <x:c r="U3" s="382"/>
      <x:c r="V3" s="382" t="str">
        <x:v>혜택 적용 조건이 복잡함</x:v>
      </x:c>
      <x:c r="W3" s="382" t="str">
        <x:v>완전 해지</x:v>
      </x:c>
      <x:c r="X3" s="382" t="str">
        <x:v>현재 이용 중인 전체 구독·멤버십, 이번 달 총 결제 예정금액, 내가 현재 보유한 전체 혜택, 기존 상품과 중복 가능성이 있는 구독·혜택, 더 유리한 이용방법</x:v>
      </x:c>
      <x:c r="Y3" s="382" t="str">
        <x:v>다음 결제 전, 무료체험 종료 전</x:v>
      </x:c>
      <x:c r="Z3" s="382"/>
    </x:row>
    <x:row r="4" ht="42" customHeight="1">
      <x:c r="A4" s="400" t="n">
        <x:v>46255.71801449074</x:v>
      </x:c>
      <x:c r="B4" s="382" t="str">
        <x:v>20대</x:v>
      </x:c>
      <x:c r="C4" s="382" t="str">
        <x:v>학생</x:v>
      </x:c>
      <x:c r="D4" s="382" t="str">
        <x:v>잘 모르겠다</x:v>
      </x:c>
      <x:c r="E4" s="382" t="str">
        <x:v>OTT (예: 넷플릭스 등), 생성형 AI (예: GPT 등), 음악·전자책·콘텐츠 (예 : Melon 등), 쇼핑 멤버십 (예 : 네이버+ 멤버십 등), 게임 패스 (예 : Xbox gamepass 등), 통신사 결합상품·구독 혜택</x:v>
      </x:c>
      <x:c r="F4" s="382" t="str">
        <x:v>잘 모르겠다</x:v>
      </x:c>
      <x:c r="G4" s="382" t="n">
        <x:v>4</x:v>
      </x:c>
      <x:c r="H4" s="382" t="str">
        <x:v>가끔 있다</x:v>
      </x:c>
      <x:c r="I4" s="382" t="str">
        <x:v>자주있다</x:v>
      </x:c>
      <x:c r="J4" s="382" t="n">
        <x:v>5</x:v>
      </x:c>
      <x:c r="K4" s="382"/>
      <x:c r="L4" s="382" t="str">
        <x:v>모른다</x:v>
      </x:c>
      <x:c r="M4" s="382" t="str">
        <x:v>따로 관리하지 않음, 결제 문자·푸시 알림, 카드·은행 앱 확인</x:v>
      </x:c>
      <x:c r="N4" s="382" t="str">
        <x:v>자동 갱신일</x:v>
      </x:c>
      <x:c r="O4" s="382" t="str">
        <x:v>없다</x:v>
      </x:c>
      <x:c r="P4" s="382" t="str">
        <x:v>필요성을 못 느낌</x:v>
      </x:c>
      <x:c r="Q4" s="382"/>
      <x:c r="R4" s="382" t="str">
        <x:v>없음</x:v>
      </x:c>
      <x:c r="S4" s="382"/>
      <x:c r="T4" s="382"/>
      <x:c r="U4" s="382"/>
      <x:c r="V4" s="382" t="str">
        <x:v>매월 총 얼마를 지출하는지 파악하기 어려움, 결제일·갱신일을 관리하기 어려움</x:v>
      </x:c>
      <x:c r="W4" s="382" t="str">
        <x:v>완전 해지</x:v>
      </x:c>
      <x:c r="X4" s="382" t="str">
        <x:v>현재 이용 중인 전체 구독·멤버십, 이번 달 총 결제 예정금액, 내가 현재 보유한 전체 혜택</x:v>
      </x:c>
      <x:c r="Y4" s="382" t="str">
        <x:v>다음 결제 전, 자동 갱신 전, 가격 인상 적용 전, 보유 혜택과 별도 구독이 겹칠 가능성이 있을 때</x:v>
      </x:c>
      <x:c r="Z4" s="382"/>
    </x:row>
    <x:row r="5" ht="42" customHeight="1">
      <x:c r="A5" s="400" t="n">
        <x:v>46255.71926976852</x:v>
      </x:c>
      <x:c r="B5" s="382" t="str">
        <x:v>30대</x:v>
      </x:c>
      <x:c r="C5" s="382" t="str">
        <x:v>기타 (무직 포함)</x:v>
      </x:c>
      <x:c r="D5" s="382" t="str">
        <x:v>잘 모르겠다</x:v>
      </x:c>
      <x:c r="E5" s="382" t="str">
        <x:v>OTT (예: 넷플릭스 등), 생성형 AI (예: GPT 등), 쇼핑 멤버십 (예 : 네이버+ 멤버십 등), 배달 멤버십 (예: 배민클럽 등)</x:v>
      </x:c>
      <x:c r="F5" s="382" t="str">
        <x:v>5~10만원 이상</x:v>
      </x:c>
      <x:c r="G5" s="382" t="n">
        <x:v>4</x:v>
      </x:c>
      <x:c r="H5" s="382" t="str">
        <x:v>자주 있다</x:v>
      </x:c>
      <x:c r="I5" s="382" t="str">
        <x:v>가끔 있다</x:v>
      </x:c>
      <x:c r="J5" s="382" t="n">
        <x:v>4</x:v>
      </x:c>
      <x:c r="K5" s="382"/>
      <x:c r="L5" s="382" t="str">
        <x:v>모른다</x:v>
      </x:c>
      <x:c r="M5" s="382" t="str">
        <x:v>기억에 의존, 결제 문자·푸시 알림, 각 서비스 앱 확인, 카드·은행 앱 확인</x:v>
      </x:c>
      <x:c r="N5" s="382" t="str">
        <x:v>무료체험 종료일, 자동 갱신일, 일시정지한 구독의 재개 시점</x:v>
      </x:c>
      <x:c r="O5" s="382" t="str">
        <x:v>없다</x:v>
      </x:c>
      <x:c r="P5" s="382" t="str">
        <x:v>직접 입력하기 귀찮음</x:v>
      </x:c>
      <x:c r="Q5" s="382"/>
      <x:c r="R5" s="382" t="str">
        <x:v>2~3개</x:v>
      </x:c>
      <x:c r="S5" s="382" t="str">
        <x:v>매월 1/n로 나누어 송금</x:v>
      </x:c>
      <x:c r="T5" s="382" t="n">
        <x:v>2</x:v>
      </x:c>
      <x:c r="U5" s="382" t="str">
        <x:v>정산 시점 기억</x:v>
      </x:c>
      <x:c r="V5" s="382" t="str">
        <x:v>현재 어떤 상품을 이용 중인지 한눈에 보기 어려움, 매월 총 얼마를 지출하는지 파악하기 어려움, 결제일·갱신일을 관리하기 어려움, 기존 상품과 중복되는 구독·혜택을 확인하기 어려움, 여러 앱·사이트를 확인해야 해서 번거로움</x:v>
      </x:c>
      <x:c r="W5" s="382" t="str">
        <x:v>완전 해지</x:v>
      </x:c>
      <x:c r="X5" s="382" t="str">
        <x:v>현재 이용 중인 전체 구독·멤버십, 이번 달 총 결제 예정금액, 기존 상품과 중복 가능성이 있는 구독·혜택, 공동 구독 상품 및 정산정보</x:v>
      </x:c>
      <x:c r="Y5" s="382" t="str">
        <x:v>다음 결제 전, 무료체험 종료 전, 자동 갱신 전, 가격 인상 적용 전, 통신·인터넷 약정 종료 전, 공동 구독 정산 시점</x:v>
      </x:c>
      <x:c r="Z5" s="382"/>
    </x:row>
    <x:row r="6" ht="42" customHeight="1">
      <x:c r="A6" s="400" t="n">
        <x:v>46255.72310798611</x:v>
      </x:c>
      <x:c r="B6" s="382" t="str">
        <x:v>20대</x:v>
      </x:c>
      <x:c r="C6" s="382" t="str">
        <x:v>기타 (무직 포함)</x:v>
      </x:c>
      <x:c r="D6" s="382" t="str">
        <x:v>4~6개</x:v>
      </x:c>
      <x:c r="E6" s="382" t="str">
        <x:v>OTT (예: 넷플릭스 등), 생성형 AI (예: GPT 등), 쇼핑 멤버십 (예 : 네이버+ 멤버십 등), 배달 멤버십 (예: 배민클럽 등), 게임 패스 (예 : Xbox gamepass 등)</x:v>
      </x:c>
      <x:c r="F6" s="382" t="str">
        <x:v>1~5만원</x:v>
      </x:c>
      <x:c r="G6" s="382" t="n">
        <x:v>2</x:v>
      </x:c>
      <x:c r="H6" s="382" t="str">
        <x:v>가끔 있다</x:v>
      </x:c>
      <x:c r="I6" s="382" t="str">
        <x:v>가끔 있다</x:v>
      </x:c>
      <x:c r="J6" s="382" t="n">
        <x:v>4</x:v>
      </x:c>
      <x:c r="K6" s="382"/>
      <x:c r="L6" s="382" t="str">
        <x:v>일부만 알고 있다</x:v>
      </x:c>
      <x:c r="M6" s="382" t="str">
        <x:v>기억에 의존, 메모·노션·엑셀</x:v>
      </x:c>
      <x:c r="N6" s="382" t="str">
        <x:v>무료체험 종료일, 자동 갱신일</x:v>
      </x:c>
      <x:c r="O6" s="382" t="str">
        <x:v>있다</x:v>
      </x:c>
      <x:c r="P6" s="382"/>
      <x:c r="Q6" s="382" t="str">
        <x:v>무료체험 종료일</x:v>
      </x:c>
      <x:c r="R6" s="382" t="str">
        <x:v>2~3개</x:v>
      </x:c>
      <x:c r="S6" s="382" t="str">
        <x:v>한 명이 전액 부담</x:v>
      </x:c>
      <x:c r="T6" s="382" t="n">
        <x:v>4</x:v>
      </x:c>
      <x:c r="U6" s="382" t="str">
        <x:v>요금제·가격 변경 반영</x:v>
      </x:c>
      <x:c r="V6" s="382" t="str">
        <x:v>현재 어떤 상품을 이용 중인지 한눈에 보기 어려움, 매월 총 얼마를 지출하는지 파악하기 어려움, 결제일·갱신일을 관리하기 어려움</x:v>
      </x:c>
      <x:c r="W6" s="382" t="str">
        <x:v>완전 해지</x:v>
      </x:c>
      <x:c r="X6" s="382" t="str">
        <x:v>현재 이용 중인 전체 구독·멤버십, 이번 달 총 결제 예정금액, 내가 현재 보유한 전체 혜택</x:v>
      </x:c>
      <x:c r="Y6" s="382" t="str">
        <x:v>무료체험 종료 전, 자동 갱신 전, 가격 인상 적용 전</x:v>
      </x:c>
      <x:c r="Z6" s="382"/>
    </x:row>
    <x:row r="7" ht="42" customHeight="1">
      <x:c r="A7" s="400" t="n">
        <x:v>46255.7235184375</x:v>
      </x:c>
      <x:c r="B7" s="382" t="str">
        <x:v>20대</x:v>
      </x:c>
      <x:c r="C7" s="382" t="str">
        <x:v>직장인</x:v>
      </x:c>
      <x:c r="D7" s="382" t="str">
        <x:v>4~6개</x:v>
      </x:c>
      <x:c r="E7" s="382" t="str">
        <x:v>OTT (예: 넷플릭스 등), 음악·전자책·콘텐츠 (예 : Melon 등), 쇼핑 멤버십 (예 : 네이버+ 멤버십 등), 배달 멤버십 (예: 배민클럽 등)</x:v>
      </x:c>
      <x:c r="F7" s="382" t="str">
        <x:v>1~5만원</x:v>
      </x:c>
      <x:c r="G7" s="382" t="n">
        <x:v>3</x:v>
      </x:c>
      <x:c r="H7" s="382" t="str">
        <x:v>가끔 있다</x:v>
      </x:c>
      <x:c r="I7" s="382" t="str">
        <x:v>가끔 있다</x:v>
      </x:c>
      <x:c r="J7" s="382" t="n">
        <x:v>5</x:v>
      </x:c>
      <x:c r="K7" s="382"/>
      <x:c r="L7" s="382" t="str">
        <x:v>일부만 알고 있다</x:v>
      </x:c>
      <x:c r="M7" s="382" t="str">
        <x:v>따로 관리하지 않음</x:v>
      </x:c>
      <x:c r="N7" s="382" t="str">
        <x:v>가격 인상 적용일</x:v>
      </x:c>
      <x:c r="O7" s="382" t="str">
        <x:v>없다</x:v>
      </x:c>
      <x:c r="P7" s="382" t="str">
        <x:v>직접 입력하기 귀찮음</x:v>
      </x:c>
      <x:c r="Q7" s="382"/>
      <x:c r="R7" s="382" t="str">
        <x:v>2~3개</x:v>
      </x:c>
      <x:c r="S7" s="382" t="str">
        <x:v>한 명이 전액 부담</x:v>
      </x:c>
      <x:c r="T7" s="382" t="n">
        <x:v>5</x:v>
      </x:c>
      <x:c r="U7" s="382" t="str">
        <x:v>요금제·가격 변경 반영</x:v>
      </x:c>
      <x:c r="V7" s="382" t="str">
        <x:v>현재 어떤 상품을 이용 중인지 한눈에 보기 어려움</x:v>
      </x:c>
      <x:c r="W7" s="382" t="str">
        <x:v>완전 해지</x:v>
      </x:c>
      <x:c r="X7" s="382" t="str">
        <x:v>현재 이용 중인 전체 구독·멤버십, 이번 달 총 결제 예정금액, 내가 현재 보유한 전체 혜택, 기존 상품과 중복 가능성이 있는 구독·혜택</x:v>
      </x:c>
      <x:c r="Y7" s="382" t="str">
        <x:v>무료체험 종료 및 자동 갱신 전, 혜택 사용기간 종료 전, 통신·인터넷 약정 종료 전, 가격 인상 적용 전, 보유 혜택과 별도 구독이 겹칠 가능성이 있을 때, 공동 구독 정산 시점</x:v>
      </x:c>
      <x:c r="Z7" s="382"/>
    </x:row>
    <x:row r="8" ht="42" customHeight="1">
      <x:c r="A8" s="400" t="n">
        <x:v>46255.72382046296</x:v>
      </x:c>
      <x:c r="B8" s="382" t="str">
        <x:v>20대</x:v>
      </x:c>
      <x:c r="C8" s="382" t="str">
        <x:v>기타 (무직 포함)</x:v>
      </x:c>
      <x:c r="D8" s="382" t="str">
        <x:v>7개 이상</x:v>
      </x:c>
      <x:c r="E8" s="382" t="str">
        <x:v>OTT (예: 넷플릭스 등), 생성형 AI (예: GPT 등), 음악·전자책·콘텐츠 (예 : Melon 등), 쇼핑 멤버십 (예 : 네이버+ 멤버십 등), 배달 멤버십 (예: 배민클럽 등), 클라우드·생산성 툴 (예: icloud / notion 등), 통신사 결합상품·구독 혜택</x:v>
      </x:c>
      <x:c r="F8" s="382" t="str">
        <x:v>5~10만원 이상</x:v>
      </x:c>
      <x:c r="G8" s="382" t="n">
        <x:v>2</x:v>
      </x:c>
      <x:c r="H8" s="382" t="str">
        <x:v>자주 있다</x:v>
      </x:c>
      <x:c r="I8" s="382" t="str">
        <x:v>가끔 있다</x:v>
      </x:c>
      <x:c r="J8" s="382" t="n">
        <x:v>4</x:v>
      </x:c>
      <x:c r="K8" s="382"/>
      <x:c r="L8" s="382" t="str">
        <x:v>모른다</x:v>
      </x:c>
      <x:c r="M8" s="382" t="str">
        <x:v>따로 관리하지 않음, 결제 문자·푸시 알림</x:v>
      </x:c>
      <x:c r="N8" s="382" t="str">
        <x:v>무료체험 종료일, 자동 갱신일, 통신·인터넷 약정 종료일</x:v>
      </x:c>
      <x:c r="O8" s="382" t="str">
        <x:v>없다</x:v>
      </x:c>
      <x:c r="P8" s="382" t="str">
        <x:v>직접 입력하기 귀찮음</x:v>
      </x:c>
      <x:c r="Q8" s="382"/>
      <x:c r="R8" s="382" t="str">
        <x:v>없음</x:v>
      </x:c>
      <x:c r="S8" s="382"/>
      <x:c r="T8" s="382"/>
      <x:c r="U8" s="382"/>
      <x:c r="V8" s="382" t="str">
        <x:v>현재 어떤 상품을 이용 중인지 한눈에 보기 어려움, 매월 총 얼마를 지출하는지 파악하기 어려움, 결제일·갱신일을 관리하기 어려움, 기존 상품과 중복되는 구독·혜택을 확인하기 어려움, 여러 앱·사이트를 확인해야 해서 번거로움</x:v>
      </x:c>
      <x:c r="W8" s="382" t="str">
        <x:v>더 저렴한 요금제로 변경</x:v>
      </x:c>
      <x:c r="X8" s="382" t="str">
        <x:v>현재 이용 중인 전체 구독·멤버십, 내가 현재 보유한 전체 혜택, 기존 상품과 중복 가능성이 있는 구독·혜택, 더 유리한 이용방법</x:v>
      </x:c>
      <x:c r="Y8" s="382" t="str">
        <x:v>무료체험 종료 및 자동 갱신 전, 혜택 사용기간 종료 전, 통신·인터넷 약정 종료 전, 가격 인상 적용 전, 보유 혜택과 별도 구독이 겹칠 가능성이 있을 때</x:v>
      </x:c>
      <x:c r="Z8" s="382" t="str">
        <x:v>내가 비효율적으로 나가고 있는 구독이 있을 시 알려줬으면 좋겠다</x:v>
      </x:c>
    </x:row>
    <x:row r="9" ht="42" customHeight="1">
      <x:c r="A9" s="400" t="n">
        <x:v>46255.72433699074</x:v>
      </x:c>
      <x:c r="B9" s="382" t="str">
        <x:v>20대</x:v>
      </x:c>
      <x:c r="C9" s="382" t="str">
        <x:v>기타 (무직 포함)</x:v>
      </x:c>
      <x:c r="D9" s="382" t="str">
        <x:v>7개 이상</x:v>
      </x:c>
      <x:c r="E9" s="382" t="str">
        <x:v>OTT (예: 넷플릭스 등), 생성형 AI (예: GPT 등), 음악·전자책·콘텐츠 (예 : Melon 등), 배달 멤버십 (예: 배민클럽 등)</x:v>
      </x:c>
      <x:c r="F9" s="382" t="str">
        <x:v>1~5만원</x:v>
      </x:c>
      <x:c r="G9" s="382" t="n">
        <x:v>4</x:v>
      </x:c>
      <x:c r="H9" s="382" t="str">
        <x:v>가끔 있다</x:v>
      </x:c>
      <x:c r="I9" s="382" t="str">
        <x:v>가끔 있다</x:v>
      </x:c>
      <x:c r="J9" s="382" t="n">
        <x:v>2</x:v>
      </x:c>
      <x:c r="K9" s="382"/>
      <x:c r="L9" s="382" t="str">
        <x:v>일부만 알고 있다</x:v>
      </x:c>
      <x:c r="M9" s="382" t="str">
        <x:v>결제 문자·푸시 알림, 각 서비스 앱 확인</x:v>
      </x:c>
      <x:c r="N9" s="382" t="str">
        <x:v>가격 인상 적용일</x:v>
      </x:c>
      <x:c r="O9" s="382" t="str">
        <x:v>없다</x:v>
      </x:c>
      <x:c r="P9" s="382" t="str">
        <x:v>직접 입력하기 귀찮음</x:v>
      </x:c>
      <x:c r="Q9" s="382"/>
      <x:c r="R9" s="382" t="str">
        <x:v>2~3개</x:v>
      </x:c>
      <x:c r="S9" s="382" t="str">
        <x:v>매월 1/n로 나누어 송금</x:v>
      </x:c>
      <x:c r="T9" s="382" t="n">
        <x:v>1</x:v>
      </x:c>
      <x:c r="U9" s="382" t="str">
        <x:v>정산 시점 기억</x:v>
      </x:c>
      <x:c r="V9" s="382" t="str">
        <x:v>현재 어떤 상품을 이용 중인지 한눈에 보기 어려움, 매월 총 얼마를 지출하는지 파악하기 어려움, 결제일·갱신일을 관리하기 어려움, 기존 상품과 중복되는 구독·혜택을 확인하기 어려움</x:v>
      </x:c>
      <x:c r="W9" s="382" t="str">
        <x:v>완전 해지</x:v>
      </x:c>
      <x:c r="X9" s="382" t="str">
        <x:v>현재 이용 중인 전체 구독·멤버십, 이번 달 총 결제 예정금액, 내가 현재 보유한 전체 혜택, 기존 상품과 중복 가능성이 있는 구독·혜택</x:v>
      </x:c>
      <x:c r="Y9" s="382" t="str">
        <x:v>가격 인상 적용 전, 보유 혜택과 별도 구독이 겹칠 가능성이 있을 때</x:v>
      </x:c>
      <x:c r="Z9" s="382"/>
    </x:row>
    <x:row r="10" ht="42" customHeight="1">
      <x:c r="A10" s="400" t="n">
        <x:v>46255.724618148146</x:v>
      </x:c>
      <x:c r="B10" s="382" t="str">
        <x:v>20대</x:v>
      </x:c>
      <x:c r="C10" s="382" t="str">
        <x:v>직장인</x:v>
      </x:c>
      <x:c r="D10" s="382" t="str">
        <x:v>잘 모르겠다</x:v>
      </x:c>
      <x:c r="E10" s="382" t="str">
        <x:v>생성형 AI (예: GPT 등)</x:v>
      </x:c>
      <x:c r="F10" s="382" t="str">
        <x:v>1~5만원</x:v>
      </x:c>
      <x:c r="G10" s="382" t="n">
        <x:v>2</x:v>
      </x:c>
      <x:c r="H10" s="382" t="str">
        <x:v>없다</x:v>
      </x:c>
      <x:c r="I10" s="382" t="str">
        <x:v>거의 없다</x:v>
      </x:c>
      <x:c r="J10" s="382" t="n">
        <x:v>5</x:v>
      </x:c>
      <x:c r="K10" s="382"/>
      <x:c r="L10" s="382" t="str">
        <x:v>일부만 알고 있다</x:v>
      </x:c>
      <x:c r="M10" s="382" t="str">
        <x:v>따로 관리하지 않음</x:v>
      </x:c>
      <x:c r="N10" s="382" t="str">
        <x:v>가격 인상 적용일</x:v>
      </x:c>
      <x:c r="O10" s="382" t="str">
        <x:v>없다</x:v>
      </x:c>
      <x:c r="P10" s="382" t="str">
        <x:v>어떤 정보를 기록해야 할지 모르겠음</x:v>
      </x:c>
      <x:c r="Q10" s="382"/>
      <x:c r="R10" s="382" t="str">
        <x:v>4개 이상</x:v>
      </x:c>
      <x:c r="S10" s="382" t="str">
        <x:v>한 명이 전액 부담</x:v>
      </x:c>
      <x:c r="T10" s="382" t="n">
        <x:v>5</x:v>
      </x:c>
      <x:c r="U10" s="382" t="str">
        <x:v>공유 인원 변경</x:v>
      </x:c>
      <x:c r="V10" s="382" t="str">
        <x:v>현재 어떤 상품을 이용 중인지 한눈에 보기 어려움</x:v>
      </x:c>
      <x:c r="W10" s="382" t="str">
        <x:v>완전 해지</x:v>
      </x:c>
      <x:c r="X10" s="382" t="str">
        <x:v>이번 달 총 결제 예정금액, 내가 현재 보유한 전체 혜택, 더 유리한 이용방법</x:v>
      </x:c>
      <x:c r="Y10" s="382" t="str">
        <x:v>무료체험 종료 및 자동 갱신 전</x:v>
      </x:c>
      <x:c r="Z10" s="382"/>
    </x:row>
    <x:row r="11" ht="42" customHeight="1">
      <x:c r="A11" s="400" t="n">
        <x:v>46255.72544393518</x:v>
      </x:c>
      <x:c r="B11" s="382" t="str">
        <x:v>30대</x:v>
      </x:c>
      <x:c r="C11" s="382" t="str">
        <x:v>프리랜서·자영업</x:v>
      </x:c>
      <x:c r="D11" s="382" t="str">
        <x:v>잘 모르겠다</x:v>
      </x:c>
      <x:c r="E11" s="382" t="str">
        <x:v>생성형 AI (예: GPT 등), 음악·전자책·콘텐츠 (예 : Melon 등), 쇼핑 멤버십 (예 : 네이버+ 멤버십 등), 배달 멤버십 (예: 배민클럽 등), 클라우드·생산성 툴 (예: icloud / notion 등)</x:v>
      </x:c>
      <x:c r="F11" s="382" t="str">
        <x:v>1~5만원</x:v>
      </x:c>
      <x:c r="G11" s="382" t="n">
        <x:v>3</x:v>
      </x:c>
      <x:c r="H11" s="382" t="str">
        <x:v>자주 있다</x:v>
      </x:c>
      <x:c r="I11" s="382" t="str">
        <x:v>전혀 없다</x:v>
      </x:c>
      <x:c r="J11" s="382" t="n">
        <x:v>4</x:v>
      </x:c>
      <x:c r="K11" s="382"/>
      <x:c r="L11" s="382" t="str">
        <x:v>일부만 알고 있다</x:v>
      </x:c>
      <x:c r="M11" s="382" t="str">
        <x:v>따로 관리하지 않음</x:v>
      </x:c>
      <x:c r="N11" s="382" t="str">
        <x:v>할인 종료일</x:v>
      </x:c>
      <x:c r="O11" s="382" t="str">
        <x:v>없다</x:v>
      </x:c>
      <x:c r="P11" s="382" t="str">
        <x:v>직접 입력하기 귀찮음</x:v>
      </x:c>
      <x:c r="Q11" s="382"/>
      <x:c r="R11" s="382" t="str">
        <x:v>없음</x:v>
      </x:c>
      <x:c r="S11" s="382"/>
      <x:c r="T11" s="382"/>
      <x:c r="U11" s="382"/>
      <x:c r="V11" s="382" t="str">
        <x:v>현재 어떤 상품을 이용 중인지 한눈에 보기 어려움, 매월 총 얼마를 지출하는지 파악하기 어려움, 여러 앱·사이트를 확인해야 해서 번거로움</x:v>
      </x:c>
      <x:c r="W11" s="382" t="str">
        <x:v>그냥 유지</x:v>
      </x:c>
      <x:c r="X11" s="382" t="str">
        <x:v>현재 이용 중인 전체 구독·멤버십, 이번 달 총 결제 예정금액, 내가 현재 보유한 전체 혜택, 기존 상품과 중복 가능성이 있는 구독·혜택</x:v>
      </x:c>
      <x:c r="Y11" s="382" t="str">
        <x:v>무료체험 종료 및 자동 갱신 전, 통신·인터넷 약정 종료 전, 가격 인상 적용 전</x:v>
      </x:c>
      <x:c r="Z11" s="382"/>
    </x:row>
    <x:row r="12" ht="42" customHeight="1">
      <x:c r="A12" s="400" t="n">
        <x:v>46255.726472187496</x:v>
      </x:c>
      <x:c r="B12" s="382" t="str">
        <x:v>20대</x:v>
      </x:c>
      <x:c r="C12" s="382" t="str">
        <x:v>직장인</x:v>
      </x:c>
      <x:c r="D12" s="382" t="str">
        <x:v>4~6개</x:v>
      </x:c>
      <x:c r="E12" s="382" t="str">
        <x:v>OTT (예: 넷플릭스 등), 음악·전자책·콘텐츠 (예 : Melon 등), 쇼핑 멤버십 (예 : 네이버+ 멤버십 등), 배달 멤버십 (예: 배민클럽 등), 클라우드·생산성 툴 (예: icloud / notion 등), 통신사 결합상품·구독 혜택</x:v>
      </x:c>
      <x:c r="F12" s="382" t="str">
        <x:v>1~5만원</x:v>
      </x:c>
      <x:c r="G12" s="382" t="n">
        <x:v>4</x:v>
      </x:c>
      <x:c r="H12" s="382" t="str">
        <x:v>가끔 있다</x:v>
      </x:c>
      <x:c r="I12" s="382" t="str">
        <x:v>가끔 있다</x:v>
      </x:c>
      <x:c r="J12" s="382" t="n">
        <x:v>5</x:v>
      </x:c>
      <x:c r="K12" s="382"/>
      <x:c r="L12" s="382" t="str">
        <x:v>일부만 알고 있다</x:v>
      </x:c>
      <x:c r="M12" s="382" t="str">
        <x:v>기억에 의존, 캘린더</x:v>
      </x:c>
      <x:c r="N12" s="382" t="str">
        <x:v>일시정지한 구독의 재개 시점, 통신·인터넷 약정 종료일</x:v>
      </x:c>
      <x:c r="O12" s="382" t="str">
        <x:v>없다</x:v>
      </x:c>
      <x:c r="P12" s="382" t="str">
        <x:v>직접 입력하기 귀찮음</x:v>
      </x:c>
      <x:c r="Q12" s="382"/>
      <x:c r="R12" s="382" t="str">
        <x:v>1개</x:v>
      </x:c>
      <x:c r="S12" s="382" t="str">
        <x:v>매월 1/n로 나누어 송금</x:v>
      </x:c>
      <x:c r="T12" s="382" t="n">
        <x:v>3</x:v>
      </x:c>
      <x:c r="U12" s="382" t="str">
        <x:v>정산 시점 기억</x:v>
      </x:c>
      <x:c r="V12" s="382" t="str">
        <x:v>결제일·갱신일을 관리하기 어려움, 특별히 불편하지 않음</x:v>
      </x:c>
      <x:c r="W12" s="382" t="str">
        <x:v>완전 해지</x:v>
      </x:c>
      <x:c r="X12" s="382" t="str">
        <x:v>현재 이용 중인 전체 구독·멤버십, 더 유리한 이용방법</x:v>
      </x:c>
      <x:c r="Y12" s="382" t="str">
        <x:v>무료체험 종료 및 자동 갱신 전</x:v>
      </x:c>
      <x:c r="Z12" s="382"/>
    </x:row>
    <x:row r="13" ht="42" customHeight="1">
      <x:c r="A13" s="400" t="n">
        <x:v>46255.72723039352</x:v>
      </x:c>
      <x:c r="B13" s="382" t="str">
        <x:v>20대</x:v>
      </x:c>
      <x:c r="C13" s="382" t="str">
        <x:v>직장인</x:v>
      </x:c>
      <x:c r="D13" s="382" t="str">
        <x:v>1~3개</x:v>
      </x:c>
      <x:c r="E13" s="382" t="str">
        <x:v>음악·전자책·콘텐츠 (예 : Melon 등)</x:v>
      </x:c>
      <x:c r="F13" s="382" t="str">
        <x:v>1만원 미만</x:v>
      </x:c>
      <x:c r="G13" s="382" t="n">
        <x:v>4</x:v>
      </x:c>
      <x:c r="H13" s="382" t="str">
        <x:v>가끔 있다</x:v>
      </x:c>
      <x:c r="I13" s="382" t="str">
        <x:v>전혀 없다</x:v>
      </x:c>
      <x:c r="J13" s="382" t="n">
        <x:v>4</x:v>
      </x:c>
      <x:c r="K13" s="382"/>
      <x:c r="L13" s="382" t="str">
        <x:v>모른다</x:v>
      </x:c>
      <x:c r="M13" s="382" t="str">
        <x:v>따로 관리하지 않음</x:v>
      </x:c>
      <x:c r="N13" s="382" t="str">
        <x:v>경험 없음</x:v>
      </x:c>
      <x:c r="O13" s="382" t="str">
        <x:v>없다</x:v>
      </x:c>
      <x:c r="P13" s="382" t="str">
        <x:v>직접 입력하기 귀찮음</x:v>
      </x:c>
      <x:c r="Q13" s="382"/>
      <x:c r="R13" s="382" t="str">
        <x:v>없음</x:v>
      </x:c>
      <x:c r="S13" s="382"/>
      <x:c r="T13" s="382"/>
      <x:c r="U13" s="382"/>
      <x:c r="V13" s="382" t="str">
        <x:v>특별히 불편하지 않음</x:v>
      </x:c>
      <x:c r="W13" s="382" t="str">
        <x:v>완전 해지</x:v>
      </x:c>
      <x:c r="X13" s="382" t="str">
        <x:v>현재 이용 중인 전체 구독·멤버십, 이번 달 총 결제 예정금액, 내가 현재 보유한 전체 혜택</x:v>
      </x:c>
      <x:c r="Y13" s="382" t="str">
        <x:v>무료체험 종료 및 자동 갱신 전, 가격 인상 적용 전, 보유 혜택과 별도 구독이 겹칠 가능성이 있을 때</x:v>
      </x:c>
      <x:c r="Z13" s="382" t="str">
        <x:v>구독갯수,가격,비교분석 한번에 한눈에 보기쉽게</x:v>
      </x:c>
    </x:row>
    <x:row r="14" ht="42" customHeight="1">
      <x:c r="A14" s="400" t="n">
        <x:v>46255.72744361111</x:v>
      </x:c>
      <x:c r="B14" s="382" t="str">
        <x:v>50대 이상</x:v>
      </x:c>
      <x:c r="C14" s="382" t="str">
        <x:v>프리랜서·자영업</x:v>
      </x:c>
      <x:c r="D14" s="382" t="str">
        <x:v>1~3개</x:v>
      </x:c>
      <x:c r="E14" s="382" t="str">
        <x:v>OTT (예: 넷플릭스 등), 통신사 결합상품·구독 혜택</x:v>
      </x:c>
      <x:c r="F14" s="382" t="str">
        <x:v>1~5만원</x:v>
      </x:c>
      <x:c r="G14" s="382" t="n">
        <x:v>3</x:v>
      </x:c>
      <x:c r="H14" s="382" t="str">
        <x:v>가끔 있다</x:v>
      </x:c>
      <x:c r="I14" s="382" t="str">
        <x:v>가끔 있다</x:v>
      </x:c>
      <x:c r="J14" s="382" t="n">
        <x:v>5</x:v>
      </x:c>
      <x:c r="K14" s="382"/>
      <x:c r="L14" s="382" t="str">
        <x:v>일부만 알고 있다</x:v>
      </x:c>
      <x:c r="M14" s="382" t="str">
        <x:v>따로 관리하지 않음</x:v>
      </x:c>
      <x:c r="N14" s="382" t="str">
        <x:v>무료체험 종료일</x:v>
      </x:c>
      <x:c r="O14" s="382" t="str">
        <x:v>없다</x:v>
      </x:c>
      <x:c r="P14" s="382" t="str">
        <x:v>직접 입력하기 귀찮음</x:v>
      </x:c>
      <x:c r="Q14" s="382"/>
      <x:c r="R14" s="382" t="str">
        <x:v>없음</x:v>
      </x:c>
      <x:c r="S14" s="382"/>
      <x:c r="T14" s="382"/>
      <x:c r="U14" s="382"/>
      <x:c r="V14" s="382" t="str">
        <x:v>매월 총 얼마를 지출하는지 파악하기 어려움, 혜택 적용 조건이 복잡함, 결제일·갱신일을 관리하기 어려움, 기존 상품과 중복되는 구독·혜택을 확인하기 어려움, 여러 앱·사이트를 확인해야 해서 번거로움</x:v>
      </x:c>
      <x:c r="W14" s="382" t="str">
        <x:v>더 저렴한 요금제로 변경</x:v>
      </x:c>
      <x:c r="X14" s="382" t="str">
        <x:v>현재 이용 중인 전체 구독·멤버십, 이번 달 총 결제 예정금액, 내가 현재 보유한 전체 혜택, 기존 상품과 중복 가능성이 있는 구독·혜택, 더 유리한 이용방법, 변경·해지하기 적절한 시점, 공동 구독 상품 및 정산정보</x:v>
      </x:c>
      <x:c r="Y14" s="382" t="str">
        <x:v>무료체험 종료 및 자동 갱신 전, 혜택 사용기간 종료 전, 통신·인터넷 약정 종료 전, 보유 혜택과 별도 구독이 겹칠 가능성이 있을 때</x:v>
      </x:c>
      <x:c r="Z14" s="382"/>
    </x:row>
    <x:row r="15" ht="42" customHeight="1">
      <x:c r="A15" s="400" t="n">
        <x:v>46255.727602071755</x:v>
      </x:c>
      <x:c r="B15" s="382" t="str">
        <x:v>30대</x:v>
      </x:c>
      <x:c r="C15" s="382" t="str">
        <x:v>기타 (무직 포함)</x:v>
      </x:c>
      <x:c r="D15" s="382" t="str">
        <x:v>4~6개</x:v>
      </x:c>
      <x:c r="E15" s="382" t="str">
        <x:v>OTT (예: 넷플릭스 등), 생성형 AI (예: GPT 등), 음악·전자책·콘텐츠 (예 : Melon 등), 쇼핑 멤버십 (예 : 네이버+ 멤버십 등), 배달 멤버십 (예: 배민클럽 등), 클라우드·생산성 툴 (예: icloud / notion 등), 통신사 결합상품·구독 혜택</x:v>
      </x:c>
      <x:c r="F15" s="382" t="str">
        <x:v>5~10만원 이상</x:v>
      </x:c>
      <x:c r="G15" s="382" t="n">
        <x:v>4</x:v>
      </x:c>
      <x:c r="H15" s="382" t="str">
        <x:v>자주 있다</x:v>
      </x:c>
      <x:c r="I15" s="382" t="str">
        <x:v>가끔 있다</x:v>
      </x:c>
      <x:c r="J15" s="382" t="n">
        <x:v>5</x:v>
      </x:c>
      <x:c r="K15" s="382"/>
      <x:c r="L15" s="382" t="str">
        <x:v>일부만 알고 있다</x:v>
      </x:c>
      <x:c r="M15" s="382" t="str">
        <x:v>따로 관리하지 않음</x:v>
      </x:c>
      <x:c r="N15" s="382" t="str">
        <x:v>경험 없음</x:v>
      </x:c>
      <x:c r="O15" s="382" t="str">
        <x:v>없다</x:v>
      </x:c>
      <x:c r="P15" s="382" t="str">
        <x:v>필요성을 못 느낌</x:v>
      </x:c>
      <x:c r="Q15" s="382"/>
      <x:c r="R15" s="382" t="str">
        <x:v>4개 이상</x:v>
      </x:c>
      <x:c r="S15" s="382" t="str">
        <x:v>한 명이 전액 부담</x:v>
      </x:c>
      <x:c r="T15" s="382" t="n">
        <x:v>1</x:v>
      </x:c>
      <x:c r="U15" s="382" t="str">
        <x:v>요금제·가격 변경 반영</x:v>
      </x:c>
      <x:c r="V15" s="382" t="str">
        <x:v>현재 어떤 상품을 이용 중인지 한눈에 보기 어려움, 특별히 불편하지 않음</x:v>
      </x:c>
      <x:c r="W15" s="382" t="str">
        <x:v>완전 해지</x:v>
      </x:c>
      <x:c r="X15" s="382" t="str">
        <x:v>현재 이용 중인 전체 구독·멤버십, 내가 현재 보유한 전체 혜택, 더 유리한 이용방법</x:v>
      </x:c>
      <x:c r="Y15" s="382" t="str">
        <x:v>혜택 사용기간 종료 전, 가격 인상 적용 전, 보유 혜택과 별도 구독이 겹칠 가능성이 있을 때</x:v>
      </x:c>
      <x:c r="Z15" s="382"/>
    </x:row>
    <x:row r="16" ht="42" customHeight="1">
      <x:c r="A16" s="400" t="n">
        <x:v>46255.727763981486</x:v>
      </x:c>
      <x:c r="B16" s="382" t="str">
        <x:v>30대</x:v>
      </x:c>
      <x:c r="C16" s="382" t="str">
        <x:v>기타 (무직 포함)</x:v>
      </x:c>
      <x:c r="D16" s="382" t="str">
        <x:v>잘 모르겠다</x:v>
      </x:c>
      <x:c r="E16" s="382" t="str">
        <x:v>OTT (예: 넷플릭스 등), 생성형 AI (예: GPT 등), 음악·전자책·콘텐츠 (예 : Melon 등), 쇼핑 멤버십 (예 : 네이버+ 멤버십 등), 배달 멤버십 (예: 배민클럽 등), 클라우드·생산성 툴 (예: icloud / notion 등)</x:v>
      </x:c>
      <x:c r="F16" s="382" t="str">
        <x:v>잘 모르겠다</x:v>
      </x:c>
      <x:c r="G16" s="382" t="n">
        <x:v>2</x:v>
      </x:c>
      <x:c r="H16" s="382" t="str">
        <x:v>가끔 있다</x:v>
      </x:c>
      <x:c r="I16" s="382" t="str">
        <x:v>가끔 있다</x:v>
      </x:c>
      <x:c r="J16" s="382" t="n">
        <x:v>5</x:v>
      </x:c>
      <x:c r="K16" s="382"/>
      <x:c r="L16" s="382" t="str">
        <x:v>일부만 알고 있다</x:v>
      </x:c>
      <x:c r="M16" s="382" t="str">
        <x:v>결제 문자·푸시 알림, 각 서비스 앱 확인, 캘린더, 메모·노션·엑셀</x:v>
      </x:c>
      <x:c r="N16" s="382" t="str">
        <x:v>자동 갱신일</x:v>
      </x:c>
      <x:c r="O16" s="382" t="str">
        <x:v>있다</x:v>
      </x:c>
      <x:c r="P16" s="382"/>
      <x:c r="Q16" s="382" t="str">
        <x:v>결제일</x:v>
      </x:c>
      <x:c r="R16" s="382" t="str">
        <x:v>없음</x:v>
      </x:c>
      <x:c r="S16" s="382"/>
      <x:c r="T16" s="382"/>
      <x:c r="U16" s="382"/>
      <x:c r="V16" s="382" t="str">
        <x:v>매월 총 얼마를 지출하는지 파악하기 어려움, 혜택 적용 조건이 복잡함, 결제일·갱신일을 관리하기 어려움, 기존 상품과 중복되는 구독·혜택을 확인하기 어려움</x:v>
      </x:c>
      <x:c r="W16" s="382" t="str">
        <x:v>완전 해지</x:v>
      </x:c>
      <x:c r="X16" s="382" t="str">
        <x:v>현재 이용 중인 전체 구독·멤버십, 이번 달 총 결제 예정금액, 내가 현재 보유한 전체 혜택, 기존 상품과 중복 가능성이 있는 구독·혜택</x:v>
      </x:c>
      <x:c r="Y16" s="382" t="str">
        <x:v>무료체험 종료 및 자동 갱신 전, 혜택 사용기간 종료 전, 가격 인상 적용 전, 보유 혜택과 별도 구독이 겹칠 가능성이 있을 때</x:v>
      </x:c>
      <x:c r="Z16" s="382"/>
    </x:row>
    <x:row r="17" ht="42" customHeight="1">
      <x:c r="A17" s="400" t="n">
        <x:v>46255.728500694444</x:v>
      </x:c>
      <x:c r="B17" s="382" t="str">
        <x:v>30대</x:v>
      </x:c>
      <x:c r="C17" s="382" t="str">
        <x:v>직장인</x:v>
      </x:c>
      <x:c r="D17" s="382" t="str">
        <x:v>1~3개</x:v>
      </x:c>
      <x:c r="E17" s="382" t="str">
        <x:v>OTT (예: 넷플릭스 등), 음악·전자책·콘텐츠 (예 : Melon 등), 쇼핑 멤버십 (예 : 네이버+ 멤버십 등)</x:v>
      </x:c>
      <x:c r="F17" s="382" t="str">
        <x:v>1~5만원</x:v>
      </x:c>
      <x:c r="G17" s="382" t="n">
        <x:v>3</x:v>
      </x:c>
      <x:c r="H17" s="382" t="str">
        <x:v>자주 있다</x:v>
      </x:c>
      <x:c r="I17" s="382" t="str">
        <x:v>거의 없다</x:v>
      </x:c>
      <x:c r="J17" s="382" t="n">
        <x:v>5</x:v>
      </x:c>
      <x:c r="K17" s="382"/>
      <x:c r="L17" s="382" t="str">
        <x:v>일부만 알고 있다</x:v>
      </x:c>
      <x:c r="M17" s="382" t="str">
        <x:v>기억에 의존</x:v>
      </x:c>
      <x:c r="N17" s="382" t="str">
        <x:v>자동 갱신일</x:v>
      </x:c>
      <x:c r="O17" s="382" t="str">
        <x:v>없다</x:v>
      </x:c>
      <x:c r="P17" s="382" t="str">
        <x:v>직접 입력하기 귀찮음</x:v>
      </x:c>
      <x:c r="Q17" s="382"/>
      <x:c r="R17" s="382" t="str">
        <x:v>1개</x:v>
      </x:c>
      <x:c r="S17" s="382" t="str">
        <x:v>한 명이 전액 부담</x:v>
      </x:c>
      <x:c r="T17" s="382" t="n">
        <x:v>1</x:v>
      </x:c>
      <x:c r="U17" s="382" t="str">
        <x:v>정산금액 계산</x:v>
      </x:c>
      <x:c r="V17" s="382" t="str">
        <x:v>현재 어떤 상품을 이용 중인지 한눈에 보기 어려움</x:v>
      </x:c>
      <x:c r="W17" s="382" t="str">
        <x:v>그냥 유지</x:v>
      </x:c>
      <x:c r="X17" s="382" t="str">
        <x:v>이번 달 총 결제 예정금액, 내가 현재 보유한 전체 혜택, 더 유리한 이용방법</x:v>
      </x:c>
      <x:c r="Y17" s="382" t="str">
        <x:v>알림이 필요하지 않음</x:v>
      </x:c>
      <x:c r="Z17" s="382"/>
    </x:row>
    <x:row r="18" ht="42" customHeight="1">
      <x:c r="A18" s="400" t="n">
        <x:v>46255.72863556713</x:v>
      </x:c>
      <x:c r="B18" s="382" t="str">
        <x:v>30대</x:v>
      </x:c>
      <x:c r="C18" s="382" t="str">
        <x:v>프리랜서·자영업</x:v>
      </x:c>
      <x:c r="D18" s="382" t="str">
        <x:v>1~3개</x:v>
      </x:c>
      <x:c r="E18" s="382" t="str">
        <x:v>OTT (예: 넷플릭스 등), 생성형 AI (예: GPT 등), 쇼핑 멤버십 (예 : 네이버+ 멤버십 등), 배달 멤버십 (예: 배민클럽 등), 통신사 결합상품·구독 혜택</x:v>
      </x:c>
      <x:c r="F18" s="382" t="str">
        <x:v>1~5만원</x:v>
      </x:c>
      <x:c r="G18" s="382" t="n">
        <x:v>3</x:v>
      </x:c>
      <x:c r="H18" s="382" t="str">
        <x:v>자주 있다</x:v>
      </x:c>
      <x:c r="I18" s="382" t="str">
        <x:v>가끔 있다</x:v>
      </x:c>
      <x:c r="J18" s="382" t="n">
        <x:v>5</x:v>
      </x:c>
      <x:c r="K18" s="382"/>
      <x:c r="L18" s="382" t="str">
        <x:v>일부만 알고 있다</x:v>
      </x:c>
      <x:c r="M18" s="382" t="str">
        <x:v>카드·은행 앱 확인</x:v>
      </x:c>
      <x:c r="N18" s="382" t="str">
        <x:v>할인 종료일</x:v>
      </x:c>
      <x:c r="O18" s="382" t="str">
        <x:v>없다</x:v>
      </x:c>
      <x:c r="P18" s="382" t="str">
        <x:v>기존 알림으로 충분함</x:v>
      </x:c>
      <x:c r="Q18" s="382"/>
      <x:c r="R18" s="382" t="str">
        <x:v>없음</x:v>
      </x:c>
      <x:c r="S18" s="382"/>
      <x:c r="T18" s="382"/>
      <x:c r="U18" s="382"/>
      <x:c r="V18" s="382" t="str">
        <x:v>특별히 불편하지 않음</x:v>
      </x:c>
      <x:c r="W18" s="382" t="str">
        <x:v>완전 해지</x:v>
      </x:c>
      <x:c r="X18" s="382" t="str">
        <x:v>현재 이용 중인 전체 구독·멤버십</x:v>
      </x:c>
      <x:c r="Y18" s="382" t="str">
        <x:v>공동 구독 정산 시점</x:v>
      </x:c>
      <x:c r="Z18" s="382"/>
    </x:row>
    <x:row r="19" ht="42" customHeight="1">
      <x:c r="A19" s="400" t="n">
        <x:v>46255.72917543982</x:v>
      </x:c>
      <x:c r="B19" s="382" t="str">
        <x:v>30대</x:v>
      </x:c>
      <x:c r="C19" s="382" t="str">
        <x:v>기타 (무직 포함)</x:v>
      </x:c>
      <x:c r="D19" s="382" t="str">
        <x:v>1~3개</x:v>
      </x:c>
      <x:c r="E19" s="382" t="str">
        <x:v>OTT (예: 넷플릭스 등), 쇼핑 멤버십 (예 : 네이버+ 멤버십 등)</x:v>
      </x:c>
      <x:c r="F19" s="382" t="str">
        <x:v>1만원 미만</x:v>
      </x:c>
      <x:c r="G19" s="382" t="n">
        <x:v>4</x:v>
      </x:c>
      <x:c r="H19" s="382" t="str">
        <x:v>가끔 있다</x:v>
      </x:c>
      <x:c r="I19" s="382" t="str">
        <x:v>가끔 있다</x:v>
      </x:c>
      <x:c r="J19" s="382" t="n">
        <x:v>5</x:v>
      </x:c>
      <x:c r="K19" s="382"/>
      <x:c r="L19" s="382" t="str">
        <x:v>일부만 알고 있다</x:v>
      </x:c>
      <x:c r="M19" s="382" t="str">
        <x:v>기억에 의존, 각 서비스 앱 확인</x:v>
      </x:c>
      <x:c r="N19" s="382" t="str">
        <x:v>할인 종료일</x:v>
      </x:c>
      <x:c r="O19" s="382" t="str">
        <x:v>없다</x:v>
      </x:c>
      <x:c r="P19" s="382" t="str">
        <x:v>기존 알림으로 충분함</x:v>
      </x:c>
      <x:c r="Q19" s="382"/>
      <x:c r="R19" s="382" t="str">
        <x:v>없음</x:v>
      </x:c>
      <x:c r="S19" s="382"/>
      <x:c r="T19" s="382"/>
      <x:c r="U19" s="382"/>
      <x:c r="V19" s="382" t="str">
        <x:v>혜택 적용 조건이 복잡함</x:v>
      </x:c>
      <x:c r="W19" s="382" t="str">
        <x:v>완전 해지</x:v>
      </x:c>
      <x:c r="X19" s="382" t="str">
        <x:v>현재 이용 중인 전체 구독·멤버십, 이번 달 총 결제 예정금액</x:v>
      </x:c>
      <x:c r="Y19" s="382" t="str">
        <x:v>혜택 사용기간 종료 전</x:v>
      </x:c>
      <x:c r="Z19" s="382" t="str">
        <x:v>갱신 시점이나 인상 시점 같은 정보들의 신뢰가 높았으면 좋겠어요</x:v>
      </x:c>
    </x:row>
    <x:row r="20" ht="42" customHeight="1">
      <x:c r="A20" s="400" t="n">
        <x:v>46255.72988616898</x:v>
      </x:c>
      <x:c r="B20" s="382" t="str">
        <x:v>20대</x:v>
      </x:c>
      <x:c r="C20" s="382" t="str">
        <x:v>직장인</x:v>
      </x:c>
      <x:c r="D20" s="382" t="str">
        <x:v>1~3개</x:v>
      </x:c>
      <x:c r="E20" s="382" t="str">
        <x:v>OTT (예: 넷플릭스 등), 쇼핑 멤버십 (예 : 네이버+ 멤버십 등)</x:v>
      </x:c>
      <x:c r="F20" s="382" t="str">
        <x:v>1~5만원</x:v>
      </x:c>
      <x:c r="G20" s="382" t="n">
        <x:v>5</x:v>
      </x:c>
      <x:c r="H20" s="382" t="str">
        <x:v>없다</x:v>
      </x:c>
      <x:c r="I20" s="382" t="str">
        <x:v>자주있다</x:v>
      </x:c>
      <x:c r="J20" s="382" t="n">
        <x:v>1</x:v>
      </x:c>
      <x:c r="K20" s="382"/>
      <x:c r="L20" s="382" t="str">
        <x:v>정확히 알고 있다</x:v>
      </x:c>
      <x:c r="M20" s="382" t="str">
        <x:v>결제 문자·푸시 알림, 각 서비스 앱 확인</x:v>
      </x:c>
      <x:c r="N20" s="382" t="str">
        <x:v>경험 없음</x:v>
      </x:c>
      <x:c r="O20" s="382" t="str">
        <x:v>있다</x:v>
      </x:c>
      <x:c r="P20" s="382"/>
      <x:c r="Q20" s="382" t="str">
        <x:v>무료체험 종료일</x:v>
      </x:c>
      <x:c r="R20" s="382" t="str">
        <x:v>2~3개</x:v>
      </x:c>
      <x:c r="S20" s="382" t="str">
        <x:v>매월 1/n로 나누어 송금</x:v>
      </x:c>
      <x:c r="T20" s="382" t="n">
        <x:v>5</x:v>
      </x:c>
      <x:c r="U20" s="382" t="str">
        <x:v>정산 시점 기억</x:v>
      </x:c>
      <x:c r="V20" s="382" t="str">
        <x:v>결제일·갱신일을 관리하기 어려움, 공동 구독 정산이 번거로움</x:v>
      </x:c>
      <x:c r="W20" s="382" t="str">
        <x:v>완전 해지</x:v>
      </x:c>
      <x:c r="X20" s="382" t="str">
        <x:v>현재 이용 중인 전체 구독·멤버십, 내가 현재 보유한 전체 혜택</x:v>
      </x:c>
      <x:c r="Y20" s="382" t="str">
        <x:v>무료체험 종료 및 자동 갱신 전, 통신·인터넷 약정 종료 전, 공동 구독 정산 시점</x:v>
      </x:c>
      <x:c r="Z20" s="382"/>
    </x:row>
    <x:row r="21" ht="42" customHeight="1">
      <x:c r="A21" s="400" t="n">
        <x:v>46255.73176047453</x:v>
      </x:c>
      <x:c r="B21" s="382" t="str">
        <x:v>20대</x:v>
      </x:c>
      <x:c r="C21" s="382" t="str">
        <x:v>직장인</x:v>
      </x:c>
      <x:c r="D21" s="382" t="str">
        <x:v>1~3개</x:v>
      </x:c>
      <x:c r="E21" s="382" t="str">
        <x:v>OTT (예: 넷플릭스 등), 배달 멤버십 (예: 배민클럽 등)</x:v>
      </x:c>
      <x:c r="F21" s="382" t="str">
        <x:v>1~5만원</x:v>
      </x:c>
      <x:c r="G21" s="382" t="n">
        <x:v>1</x:v>
      </x:c>
      <x:c r="H21" s="382" t="str">
        <x:v>없다</x:v>
      </x:c>
      <x:c r="I21" s="382" t="str">
        <x:v>전혀 없다</x:v>
      </x:c>
      <x:c r="J21" s="382" t="n">
        <x:v>5</x:v>
      </x:c>
      <x:c r="K21" s="382"/>
      <x:c r="L21" s="382" t="str">
        <x:v>모른다</x:v>
      </x:c>
      <x:c r="M21" s="382" t="str">
        <x:v>따로 관리하지 않음</x:v>
      </x:c>
      <x:c r="N21" s="382" t="str">
        <x:v>경험 없음</x:v>
      </x:c>
      <x:c r="O21" s="382" t="str">
        <x:v>없다</x:v>
      </x:c>
      <x:c r="P21" s="382" t="str">
        <x:v>직접 입력하기 귀찮음</x:v>
      </x:c>
      <x:c r="Q21" s="382"/>
      <x:c r="R21" s="382" t="str">
        <x:v>없음</x:v>
      </x:c>
      <x:c r="S21" s="382"/>
      <x:c r="T21" s="382"/>
      <x:c r="U21" s="382"/>
      <x:c r="V21" s="382" t="str">
        <x:v>특별히 불편하지 않음</x:v>
      </x:c>
      <x:c r="W21" s="382" t="str">
        <x:v>그냥 유지</x:v>
      </x:c>
      <x:c r="X21" s="382" t="str">
        <x:v>현재 이용 중인 전체 구독·멤버십</x:v>
      </x:c>
      <x:c r="Y21" s="382" t="str">
        <x:v>알림이 필요하지 않음</x:v>
      </x:c>
      <x:c r="Z21" s="382"/>
    </x:row>
    <x:row r="22" ht="42" customHeight="1">
      <x:c r="A22" s="400" t="n">
        <x:v>46255.73233530093</x:v>
      </x:c>
      <x:c r="B22" s="382" t="str">
        <x:v>20대</x:v>
      </x:c>
      <x:c r="C22" s="382" t="str">
        <x:v>직장인</x:v>
      </x:c>
      <x:c r="D22" s="382" t="str">
        <x:v>1~3개</x:v>
      </x:c>
      <x:c r="E22" s="382" t="str">
        <x:v>OTT (예: 넷플릭스 등), 쇼핑 멤버십 (예 : 네이버+ 멤버십 등)</x:v>
      </x:c>
      <x:c r="F22" s="382" t="str">
        <x:v>1만원 미만</x:v>
      </x:c>
      <x:c r="G22" s="382" t="n">
        <x:v>3</x:v>
      </x:c>
      <x:c r="H22" s="382" t="str">
        <x:v>가끔 있다</x:v>
      </x:c>
      <x:c r="I22" s="382" t="str">
        <x:v>가끔 있다</x:v>
      </x:c>
      <x:c r="J22" s="382" t="n">
        <x:v>5</x:v>
      </x:c>
      <x:c r="K22" s="382"/>
      <x:c r="L22" s="382" t="str">
        <x:v>일부만 알고 있다</x:v>
      </x:c>
      <x:c r="M22" s="382" t="str">
        <x:v>따로 관리하지 않음</x:v>
      </x:c>
      <x:c r="N22" s="382" t="str">
        <x:v>무료체험 종료일</x:v>
      </x:c>
      <x:c r="O22" s="382" t="str">
        <x:v>있다</x:v>
      </x:c>
      <x:c r="P22" s="382"/>
      <x:c r="Q22" s="382" t="str">
        <x:v>갱신일</x:v>
      </x:c>
      <x:c r="R22" s="382" t="str">
        <x:v>2~3개</x:v>
      </x:c>
      <x:c r="S22" s="382" t="str">
        <x:v>한 명이 전액 부담</x:v>
      </x:c>
      <x:c r="T22" s="382" t="n">
        <x:v>2</x:v>
      </x:c>
      <x:c r="U22" s="382" t="str">
        <x:v>정산 시점 기억</x:v>
      </x:c>
      <x:c r="V22" s="382" t="str">
        <x:v>혜택 적용 조건이 복잡함</x:v>
      </x:c>
      <x:c r="W22" s="382" t="str">
        <x:v>일시정지</x:v>
      </x:c>
      <x:c r="X22" s="382" t="str">
        <x:v>현재 이용 중인 전체 구독·멤버십, 내가 현재 보유한 전체 혜택</x:v>
      </x:c>
      <x:c r="Y22" s="382" t="str">
        <x:v>혜택 사용기간 종료 전, 가격 인상 적용 전</x:v>
      </x:c>
      <x:c r="Z22" s="382"/>
    </x:row>
    <x:row r="23" ht="42" customHeight="1">
      <x:c r="A23" s="400" t="n">
        <x:v>46255.73436732639</x:v>
      </x:c>
      <x:c r="B23" s="382" t="str">
        <x:v>20대</x:v>
      </x:c>
      <x:c r="C23" s="382" t="str">
        <x:v>기타 (무직 포함)</x:v>
      </x:c>
      <x:c r="D23" s="382" t="str">
        <x:v>4~6개</x:v>
      </x:c>
      <x:c r="E23" s="382" t="str">
        <x:v>음악·전자책·콘텐츠 (예 : Melon 등), 쇼핑 멤버십 (예 : 네이버+ 멤버십 등), 게임 패스 (예 : Xbox gamepass 등), 통신사 결합상품·구독 혜택</x:v>
      </x:c>
      <x:c r="F23" s="382" t="str">
        <x:v>1~5만원</x:v>
      </x:c>
      <x:c r="G23" s="382" t="n">
        <x:v>3</x:v>
      </x:c>
      <x:c r="H23" s="382" t="str">
        <x:v>가끔 있다</x:v>
      </x:c>
      <x:c r="I23" s="382" t="str">
        <x:v>거의 없다</x:v>
      </x:c>
      <x:c r="J23" s="382" t="n">
        <x:v>4</x:v>
      </x:c>
      <x:c r="K23" s="382"/>
      <x:c r="L23" s="382" t="str">
        <x:v>일부만 알고 있다</x:v>
      </x:c>
      <x:c r="M23" s="382" t="str">
        <x:v>결제 문자·푸시 알림, 캘린더</x:v>
      </x:c>
      <x:c r="N23" s="382" t="str">
        <x:v>경험 없음</x:v>
      </x:c>
      <x:c r="O23" s="382" t="str">
        <x:v>있다</x:v>
      </x:c>
      <x:c r="P23" s="382"/>
      <x:c r="Q23" s="382" t="str">
        <x:v>무료체험 종료일</x:v>
      </x:c>
      <x:c r="R23" s="382" t="str">
        <x:v>1개</x:v>
      </x:c>
      <x:c r="S23" s="382" t="str">
        <x:v>한 명이 전액 부담</x:v>
      </x:c>
      <x:c r="T23" s="382" t="n">
        <x:v>2</x:v>
      </x:c>
      <x:c r="U23" s="382" t="str">
        <x:v>정산 시점 기억</x:v>
      </x:c>
      <x:c r="V23" s="382" t="str">
        <x:v>현재 어떤 상품을 이용 중인지 한눈에 보기 어려움, 여러 앱·사이트를 확인해야 해서 번거로움</x:v>
      </x:c>
      <x:c r="W23" s="382" t="str">
        <x:v>완전 해지</x:v>
      </x:c>
      <x:c r="X23" s="382" t="str">
        <x:v>이번 달 총 결제 예정금액, 내가 현재 보유한 전체 혜택, 더 유리한 이용방법</x:v>
      </x:c>
      <x:c r="Y23" s="382" t="str">
        <x:v>무료체험 종료 및 자동 갱신 전, 혜택 사용기간 종료 전, 가격 인상 적용 전</x:v>
      </x:c>
      <x:c r="Z23" s="382"/>
    </x:row>
    <x:row r="24" ht="42" customHeight="1">
      <x:c r="A24" s="400" t="n">
        <x:v>46255.73473251157</x:v>
      </x:c>
      <x:c r="B24" s="382" t="str">
        <x:v>20대</x:v>
      </x:c>
      <x:c r="C24" s="382" t="str">
        <x:v>직장인</x:v>
      </x:c>
      <x:c r="D24" s="382" t="str">
        <x:v>1~3개</x:v>
      </x:c>
      <x:c r="E24" s="382" t="str">
        <x:v>OTT (예: 넷플릭스 등)</x:v>
      </x:c>
      <x:c r="F24" s="382" t="str">
        <x:v>1만원 미만</x:v>
      </x:c>
      <x:c r="G24" s="382" t="n">
        <x:v>4</x:v>
      </x:c>
      <x:c r="H24" s="382" t="str">
        <x:v>가끔 있다</x:v>
      </x:c>
      <x:c r="I24" s="382" t="str">
        <x:v>거의 없다</x:v>
      </x:c>
      <x:c r="J24" s="382" t="n">
        <x:v>4</x:v>
      </x:c>
      <x:c r="K24" s="382"/>
      <x:c r="L24" s="382" t="str">
        <x:v>일부만 알고 있다</x:v>
      </x:c>
      <x:c r="M24" s="382" t="str">
        <x:v>캘린더</x:v>
      </x:c>
      <x:c r="N24" s="382" t="str">
        <x:v>가격 인상 적용일</x:v>
      </x:c>
      <x:c r="O24" s="382" t="str">
        <x:v>있다</x:v>
      </x:c>
      <x:c r="P24" s="382"/>
      <x:c r="Q24" s="382" t="str">
        <x:v>약정 종료일</x:v>
      </x:c>
      <x:c r="R24" s="382" t="str">
        <x:v>1개</x:v>
      </x:c>
      <x:c r="S24" s="382" t="str">
        <x:v>한 명이 전액 부담</x:v>
      </x:c>
      <x:c r="T24" s="382" t="n">
        <x:v>1</x:v>
      </x:c>
      <x:c r="U24" s="382" t="str">
        <x:v>공유 인원 변경</x:v>
      </x:c>
      <x:c r="V24" s="382" t="str">
        <x:v>현재 어떤 상품을 이용 중인지 한눈에 보기 어려움</x:v>
      </x:c>
      <x:c r="W24" s="382" t="str">
        <x:v>완전 해지</x:v>
      </x:c>
      <x:c r="X24" s="382" t="str">
        <x:v>현재 이용 중인 전체 구독·멤버십</x:v>
      </x:c>
      <x:c r="Y24" s="382" t="str">
        <x:v>혜택 사용기간 종료 전</x:v>
      </x:c>
      <x:c r="Z24" s="382" t="str">
        <x:v>한어플로 현재 구독중인 서비스 및 결제일 , 금액 등이 확인이 되며, 관리또한 가능한 어플이 있었으면 좋겠습니다</x:v>
      </x:c>
    </x:row>
    <x:row r="25" ht="42" customHeight="1">
      <x:c r="A25" s="400" t="n">
        <x:v>46255.736326134254</x:v>
      </x:c>
      <x:c r="B25" s="382" t="str">
        <x:v>20대</x:v>
      </x:c>
      <x:c r="C25" s="382" t="str">
        <x:v>프리랜서·자영업</x:v>
      </x:c>
      <x:c r="D25" s="382" t="str">
        <x:v>4~6개</x:v>
      </x:c>
      <x:c r="E25" s="382" t="str">
        <x:v>OTT (예: 넷플릭스 등), 음악·전자책·콘텐츠 (예 : Melon 등), 배달 멤버십 (예: 배민클럽 등)</x:v>
      </x:c>
      <x:c r="F25" s="382" t="str">
        <x:v>5~10만원 이상</x:v>
      </x:c>
      <x:c r="G25" s="382" t="n">
        <x:v>3</x:v>
      </x:c>
      <x:c r="H25" s="382" t="str">
        <x:v>가끔 있다</x:v>
      </x:c>
      <x:c r="I25" s="382" t="str">
        <x:v>전혀 없다</x:v>
      </x:c>
      <x:c r="J25" s="382" t="n">
        <x:v>5</x:v>
      </x:c>
      <x:c r="K25" s="382"/>
      <x:c r="L25" s="382" t="str">
        <x:v>일부만 알고 있다</x:v>
      </x:c>
      <x:c r="M25" s="382" t="str">
        <x:v>결제 문자·푸시 알림</x:v>
      </x:c>
      <x:c r="N25" s="382" t="str">
        <x:v>무료체험 종료일, 통신·인터넷 약정 종료일</x:v>
      </x:c>
      <x:c r="O25" s="382" t="str">
        <x:v>없다</x:v>
      </x:c>
      <x:c r="P25" s="382" t="str">
        <x:v>필요성을 못 느낌</x:v>
      </x:c>
      <x:c r="Q25" s="382"/>
      <x:c r="R25" s="382" t="str">
        <x:v>1개</x:v>
      </x:c>
      <x:c r="S25" s="382" t="str">
        <x:v>한 명이 전액 부담</x:v>
      </x:c>
      <x:c r="T25" s="382" t="n">
        <x:v>1</x:v>
      </x:c>
      <x:c r="U25" s="382" t="str">
        <x:v>공유 인원 변경</x:v>
      </x:c>
      <x:c r="V25" s="382" t="str">
        <x:v>현재 어떤 상품을 이용 중인지 한눈에 보기 어려움, 매월 총 얼마를 지출하는지 파악하기 어려움</x:v>
      </x:c>
      <x:c r="W25" s="382" t="str">
        <x:v>완전 해지</x:v>
      </x:c>
      <x:c r="X25" s="382" t="str">
        <x:v>현재 이용 중인 전체 구독·멤버십, 이번 달 총 결제 예정금액, 더 유리한 이용방법</x:v>
      </x:c>
      <x:c r="Y25" s="382" t="str">
        <x:v>통신·인터넷 약정 종료 전, 가격 인상 적용 전</x:v>
      </x:c>
      <x:c r="Z25" s="382"/>
    </x:row>
    <x:row r="26" ht="42" customHeight="1">
      <x:c r="A26" s="400" t="n">
        <x:v>46255.73659241898</x:v>
      </x:c>
      <x:c r="B26" s="382" t="str">
        <x:v>50대 이상</x:v>
      </x:c>
      <x:c r="C26" s="382" t="str">
        <x:v>직장인</x:v>
      </x:c>
      <x:c r="D26" s="382" t="str">
        <x:v>1~3개</x:v>
      </x:c>
      <x:c r="E26" s="382" t="str">
        <x:v>OTT (예: 넷플릭스 등), 생성형 AI (예: GPT 등), 배달 멤버십 (예: 배민클럽 등)</x:v>
      </x:c>
      <x:c r="F26" s="382" t="str">
        <x:v>1만원 미만</x:v>
      </x:c>
      <x:c r="G26" s="382" t="n">
        <x:v>2</x:v>
      </x:c>
      <x:c r="H26" s="382" t="str">
        <x:v>가끔 있다</x:v>
      </x:c>
      <x:c r="I26" s="382" t="str">
        <x:v>거의 없다</x:v>
      </x:c>
      <x:c r="J26" s="382" t="n">
        <x:v>4</x:v>
      </x:c>
      <x:c r="K26" s="382"/>
      <x:c r="L26" s="382" t="str">
        <x:v>모른다</x:v>
      </x:c>
      <x:c r="M26" s="382" t="str">
        <x:v>결제 문자·푸시 알림</x:v>
      </x:c>
      <x:c r="N26" s="382" t="str">
        <x:v>자동 갱신일, 일시정지한 구독의 재개 시점</x:v>
      </x:c>
      <x:c r="O26" s="382" t="str">
        <x:v>없다</x:v>
      </x:c>
      <x:c r="P26" s="382" t="str">
        <x:v>기존 알림으로 충분함</x:v>
      </x:c>
      <x:c r="Q26" s="382"/>
      <x:c r="R26" s="382" t="str">
        <x:v>1개</x:v>
      </x:c>
      <x:c r="S26" s="382" t="str">
        <x:v>한 명이 전액 부담</x:v>
      </x:c>
      <x:c r="T26" s="382" t="n">
        <x:v>1</x:v>
      </x:c>
      <x:c r="U26" s="382" t="str">
        <x:v>정산 시점 기억</x:v>
      </x:c>
      <x:c r="V26" s="382" t="str">
        <x:v>특별히 불편하지 않음</x:v>
      </x:c>
      <x:c r="W26" s="382" t="str">
        <x:v>더 저렴한 요금제로 변경</x:v>
      </x:c>
      <x:c r="X26" s="382" t="str">
        <x:v>내가 현재 보유한 전체 혜택, 공동 구독 상품 및 정산정보</x:v>
      </x:c>
      <x:c r="Y26" s="382" t="str">
        <x:v>혜택 사용기간 종료 전, 가격 인상 적용 전</x:v>
      </x:c>
      <x:c r="Z26" s="382"/>
    </x:row>
    <x:row r="27" ht="42" customHeight="1">
      <x:c r="A27" s="400" t="n">
        <x:v>46255.738083379634</x:v>
      </x:c>
      <x:c r="B27" s="382" t="str">
        <x:v>50대 이상</x:v>
      </x:c>
      <x:c r="C27" s="382" t="str">
        <x:v>직장인</x:v>
      </x:c>
      <x:c r="D27" s="382" t="str">
        <x:v>1~3개</x:v>
      </x:c>
      <x:c r="E27" s="382" t="str">
        <x:v>쇼핑 멤버십 (예 : 네이버+ 멤버십 등), 배달 멤버십 (예: 배민클럽 등)</x:v>
      </x:c>
      <x:c r="F27" s="382" t="str">
        <x:v>1만원 미만</x:v>
      </x:c>
      <x:c r="G27" s="382" t="n">
        <x:v>2</x:v>
      </x:c>
      <x:c r="H27" s="382" t="str">
        <x:v>자주 있다</x:v>
      </x:c>
      <x:c r="I27" s="382" t="str">
        <x:v>거의 없다</x:v>
      </x:c>
      <x:c r="J27" s="382" t="n">
        <x:v>5</x:v>
      </x:c>
      <x:c r="K27" s="382"/>
      <x:c r="L27" s="382" t="str">
        <x:v>일부만 알고 있다</x:v>
      </x:c>
      <x:c r="M27" s="382" t="str">
        <x:v>결제 문자·푸시 알림</x:v>
      </x:c>
      <x:c r="N27" s="382" t="str">
        <x:v>무료체험 종료일, 일시정지한 구독의 재개 시점, 통신·인터넷 약정 종료일</x:v>
      </x:c>
      <x:c r="O27" s="382" t="str">
        <x:v>없다</x:v>
      </x:c>
      <x:c r="P27" s="382" t="str">
        <x:v>어떤 정보를 기록해야 할지 모르겠음</x:v>
      </x:c>
      <x:c r="Q27" s="382"/>
      <x:c r="R27" s="382" t="str">
        <x:v>1개</x:v>
      </x:c>
      <x:c r="S27" s="382" t="str">
        <x:v>한 명이 전액 부담</x:v>
      </x:c>
      <x:c r="T27" s="382" t="n">
        <x:v>1</x:v>
      </x:c>
      <x:c r="U27" s="382" t="str">
        <x:v>요금제·가격 변경 반영</x:v>
      </x:c>
      <x:c r="V27" s="382" t="str">
        <x:v>혜택 적용 조건이 복잡함, 기존 상품과 중복되는 구독·혜택을 확인하기 어려움</x:v>
      </x:c>
      <x:c r="W27" s="382" t="str">
        <x:v>완전 해지</x:v>
      </x:c>
      <x:c r="X27" s="382" t="str">
        <x:v>내가 현재 보유한 전체 혜택, 기존 상품과 중복 가능성이 있는 구독·혜택, 더 유리한 이용방법</x:v>
      </x:c>
      <x:c r="Y27" s="382" t="str">
        <x:v>무료체험 종료 및 자동 갱신 전, 보유 혜택과 별도 구독이 겹칠 가능성이 있을 때</x:v>
      </x:c>
      <x:c r="Z27" s="382"/>
    </x:row>
    <x:row r="28" ht="42" customHeight="1">
      <x:c r="A28" s="400" t="n">
        <x:v>46255.738226284724</x:v>
      </x:c>
      <x:c r="B28" s="382" t="str">
        <x:v>20대</x:v>
      </x:c>
      <x:c r="C28" s="382" t="str">
        <x:v>학생</x:v>
      </x:c>
      <x:c r="D28" s="382" t="str">
        <x:v>1~3개</x:v>
      </x:c>
      <x:c r="E28" s="382" t="str">
        <x:v>OTT (예: 넷플릭스 등), 음악·전자책·콘텐츠 (예 : Melon 등), 통신사 결합상품·구독 혜택</x:v>
      </x:c>
      <x:c r="F28" s="382" t="str">
        <x:v>1~5만원</x:v>
      </x:c>
      <x:c r="G28" s="382" t="n">
        <x:v>4</x:v>
      </x:c>
      <x:c r="H28" s="382" t="str">
        <x:v>가끔 있다</x:v>
      </x:c>
      <x:c r="I28" s="382" t="str">
        <x:v>가끔 있다</x:v>
      </x:c>
      <x:c r="J28" s="382" t="n">
        <x:v>4</x:v>
      </x:c>
      <x:c r="K28" s="382"/>
      <x:c r="L28" s="382" t="str">
        <x:v>정확히 알고 있다</x:v>
      </x:c>
      <x:c r="M28" s="382" t="str">
        <x:v>핸드폰 내 알람 기능</x:v>
      </x:c>
      <x:c r="N28" s="382" t="str">
        <x:v>경험 없음</x:v>
      </x:c>
      <x:c r="O28" s="382" t="str">
        <x:v>있다</x:v>
      </x:c>
      <x:c r="P28" s="382"/>
      <x:c r="Q28" s="382" t="str">
        <x:v>무료체험 종료일</x:v>
      </x:c>
      <x:c r="R28" s="382" t="str">
        <x:v>1개</x:v>
      </x:c>
      <x:c r="S28" s="382" t="str">
        <x:v>한 명이 전액 부담</x:v>
      </x:c>
      <x:c r="T28" s="382" t="n">
        <x:v>1</x:v>
      </x:c>
      <x:c r="U28" s="382" t="str">
        <x:v>요금제·가격 변경 반영</x:v>
      </x:c>
      <x:c r="V28" s="382" t="str">
        <x:v>특별히 불편하지 않음</x:v>
      </x:c>
      <x:c r="W28" s="382" t="str">
        <x:v>완전 해지</x:v>
      </x:c>
      <x:c r="X28" s="382" t="str">
        <x:v>더 유리한 이용방법</x:v>
      </x:c>
      <x:c r="Y28" s="382" t="str">
        <x:v>무료체험 종료 및 자동 갱신 전</x:v>
      </x:c>
      <x:c r="Z28" s="382"/>
    </x:row>
    <x:row r="29" ht="42" customHeight="1">
      <x:c r="A29" s="400" t="n">
        <x:v>46255.73842100694</x:v>
      </x:c>
      <x:c r="B29" s="382" t="str">
        <x:v>30대</x:v>
      </x:c>
      <x:c r="C29" s="382" t="str">
        <x:v>기타 (무직 포함)</x:v>
      </x:c>
      <x:c r="D29" s="382" t="str">
        <x:v>4~6개</x:v>
      </x:c>
      <x:c r="E29" s="382" t="str">
        <x:v>OTT (예: 넷플릭스 등), 생성형 AI (예: GPT 등), 음악·전자책·콘텐츠 (예 : Melon 등), 쇼핑 멤버십 (예 : 네이버+ 멤버십 등), 클라우드·생산성 툴 (예: icloud / notion 등), 통신사 결합상품·구독 혜택</x:v>
      </x:c>
      <x:c r="F29" s="382" t="str">
        <x:v>5~10만원 이상</x:v>
      </x:c>
      <x:c r="G29" s="382" t="n">
        <x:v>4</x:v>
      </x:c>
      <x:c r="H29" s="382" t="str">
        <x:v>가끔 있다</x:v>
      </x:c>
      <x:c r="I29" s="382" t="str">
        <x:v>가끔 있다</x:v>
      </x:c>
      <x:c r="J29" s="382" t="n">
        <x:v>3</x:v>
      </x:c>
      <x:c r="K29" s="382"/>
      <x:c r="L29" s="382" t="str">
        <x:v>정확히 알고 있다</x:v>
      </x:c>
      <x:c r="M29" s="382" t="str">
        <x:v>캘린더</x:v>
      </x:c>
      <x:c r="N29" s="382" t="str">
        <x:v>무료체험 종료일</x:v>
      </x:c>
      <x:c r="O29" s="382" t="str">
        <x:v>있다</x:v>
      </x:c>
      <x:c r="P29" s="382"/>
      <x:c r="Q29" s="382" t="str">
        <x:v>갱신일</x:v>
      </x:c>
      <x:c r="R29" s="382" t="str">
        <x:v>없음</x:v>
      </x:c>
      <x:c r="S29" s="382"/>
      <x:c r="T29" s="382"/>
      <x:c r="U29" s="382"/>
      <x:c r="V29" s="382" t="str">
        <x:v>매월 총 얼마를 지출하는지 파악하기 어려움, 여러 앱·사이트를 확인해야 해서 번거로움, 기타</x:v>
      </x:c>
      <x:c r="W29" s="382" t="str">
        <x:v>완전 해지</x:v>
      </x:c>
      <x:c r="X29" s="382" t="str">
        <x:v>현재 이용 중인 전체 구독·멤버십, 이번 달 총 결제 예정금액, 변경·해지하기 적절한 시점</x:v>
      </x:c>
      <x:c r="Y29" s="382" t="str">
        <x:v>무료체험 종료 및 자동 갱신 전, 가격 인상 적용 전, 보유 혜택과 별도 구독이 겹칠 가능성이 있을 때</x:v>
      </x:c>
      <x:c r="Z29" s="382" t="str">
        <x:v>더 좋은 구독 할인 적용에 대한 정보가 있으면 좋을 것 같으나,
요즘 제가 사용하는 구독 할인 사이트(ex. 유튜브 프리미엄 구독 할인 적용 서비스)의 경우
신뢰도가 떨어지긴 하지만 가격이 매력적이라 사용하는 거라 그에 대한 개선이 있으면 좋지 않을까라는 개인적인 생각을 해봤습니다</x:v>
      </x:c>
    </x:row>
    <x:row r="30" ht="42" customHeight="1">
      <x:c r="A30" s="400" t="n">
        <x:v>46255.739336377315</x:v>
      </x:c>
      <x:c r="B30" s="382" t="str">
        <x:v>30대</x:v>
      </x:c>
      <x:c r="C30" s="382" t="str">
        <x:v>직장인</x:v>
      </x:c>
      <x:c r="D30" s="382" t="str">
        <x:v>4~6개</x:v>
      </x:c>
      <x:c r="E30" s="382" t="str">
        <x:v>OTT (예: 넷플릭스 등), 생성형 AI (예: GPT 등), 음악·전자책·콘텐츠 (예 : Melon 등), 쇼핑 멤버십 (예 : 네이버+ 멤버십 등), 통신사 결합상품·구독 혜택</x:v>
      </x:c>
      <x:c r="F30" s="382" t="str">
        <x:v>5~10만원 이상</x:v>
      </x:c>
      <x:c r="G30" s="382" t="n">
        <x:v>5</x:v>
      </x:c>
      <x:c r="H30" s="382" t="str">
        <x:v>가끔 있다</x:v>
      </x:c>
      <x:c r="I30" s="382" t="str">
        <x:v>가끔 있다</x:v>
      </x:c>
      <x:c r="J30" s="382" t="n">
        <x:v>2</x:v>
      </x:c>
      <x:c r="K30" s="382"/>
      <x:c r="L30" s="382" t="str">
        <x:v>일부만 알고 있다</x:v>
      </x:c>
      <x:c r="M30" s="382" t="str">
        <x:v>결제 문자·푸시 알림</x:v>
      </x:c>
      <x:c r="N30" s="382" t="str">
        <x:v>경험 없음</x:v>
      </x:c>
      <x:c r="O30" s="382" t="str">
        <x:v>없다</x:v>
      </x:c>
      <x:c r="P30" s="382" t="str">
        <x:v>필요성을 못 느낌</x:v>
      </x:c>
      <x:c r="Q30" s="382"/>
      <x:c r="R30" s="382" t="str">
        <x:v>없음</x:v>
      </x:c>
      <x:c r="S30" s="382"/>
      <x:c r="T30" s="382"/>
      <x:c r="U30" s="382"/>
      <x:c r="V30" s="382" t="str">
        <x:v>매월 총 얼마를 지출하는지 파악하기 어려움</x:v>
      </x:c>
      <x:c r="W30" s="382" t="str">
        <x:v>완전 해지</x:v>
      </x:c>
      <x:c r="X30" s="382" t="str">
        <x:v>현재 이용 중인 전체 구독·멤버십, 이번 달 총 결제 예정금액, 내가 현재 보유한 전체 혜택, 더 유리한 이용방법</x:v>
      </x:c>
      <x:c r="Y30" s="382" t="str">
        <x:v>알림이 필요하지 않음</x:v>
      </x:c>
      <x:c r="Z30" s="382"/>
    </x:row>
    <x:row r="31" ht="42" customHeight="1">
      <x:c r="A31" s="400" t="n">
        <x:v>46255.73994517361</x:v>
      </x:c>
      <x:c r="B31" s="382" t="str">
        <x:v>50대 이상</x:v>
      </x:c>
      <x:c r="C31" s="382" t="str">
        <x:v>프리랜서·자영업</x:v>
      </x:c>
      <x:c r="D31" s="382" t="str">
        <x:v>1~3개</x:v>
      </x:c>
      <x:c r="E31" s="382" t="str">
        <x:v>OTT (예: 넷플릭스 등), 생성형 AI (예: GPT 등)</x:v>
      </x:c>
      <x:c r="F31" s="382" t="str">
        <x:v>5~10만원 이상</x:v>
      </x:c>
      <x:c r="G31" s="382" t="n">
        <x:v>4</x:v>
      </x:c>
      <x:c r="H31" s="382" t="str">
        <x:v>자주 있다</x:v>
      </x:c>
      <x:c r="I31" s="382" t="str">
        <x:v>거의 없다</x:v>
      </x:c>
      <x:c r="J31" s="382" t="n">
        <x:v>5</x:v>
      </x:c>
      <x:c r="K31" s="382"/>
      <x:c r="L31" s="382" t="str">
        <x:v>모른다</x:v>
      </x:c>
      <x:c r="M31" s="382" t="str">
        <x:v>결제 문자·푸시 알림, 가족·친구가 관리</x:v>
      </x:c>
      <x:c r="N31" s="382" t="str">
        <x:v>가격 인상 적용일</x:v>
      </x:c>
      <x:c r="O31" s="382" t="str">
        <x:v>없다</x:v>
      </x:c>
      <x:c r="P31" s="382" t="str">
        <x:v>어떤 정보를 기록해야 할지 모르겠음</x:v>
      </x:c>
      <x:c r="Q31" s="382"/>
      <x:c r="R31" s="382" t="str">
        <x:v>1개</x:v>
      </x:c>
      <x:c r="S31" s="382" t="str">
        <x:v>한 명이 전액 부담</x:v>
      </x:c>
      <x:c r="T31" s="382" t="n">
        <x:v>3</x:v>
      </x:c>
      <x:c r="U31" s="382" t="str">
        <x:v>공유 인원 변경</x:v>
      </x:c>
      <x:c r="V31" s="382" t="str">
        <x:v>매월 총 얼마를 지출하는지 파악하기 어려움, 여러 앱·사이트를 확인해야 해서 번거로움</x:v>
      </x:c>
      <x:c r="W31" s="382" t="str">
        <x:v>완전 해지</x:v>
      </x:c>
      <x:c r="X31" s="382" t="str">
        <x:v>내가 현재 보유한 전체 혜택, 더 유리한 이용방법, 공동 구독 상품 및 정산정보</x:v>
      </x:c>
      <x:c r="Y31" s="382" t="str">
        <x:v>가격 인상 적용 전, 보유 혜택과 별도 구독이 겹칠 가능성이 있을 때</x:v>
      </x:c>
      <x:c r="Z31" s="382"/>
    </x:row>
    <x:row r="32" ht="42" customHeight="1">
      <x:c r="A32" s="400" t="n">
        <x:v>46255.74052028936</x:v>
      </x:c>
      <x:c r="B32" s="382" t="str">
        <x:v>50대 이상</x:v>
      </x:c>
      <x:c r="C32" s="382" t="str">
        <x:v>직장인</x:v>
      </x:c>
      <x:c r="D32" s="382" t="str">
        <x:v>4~6개</x:v>
      </x:c>
      <x:c r="E32" s="382" t="str">
        <x:v>OTT (예: 넷플릭스 등), 음악·전자책·콘텐츠 (예 : Melon 등), 쇼핑 멤버십 (예 : 네이버+ 멤버십 등), 배달 멤버십 (예: 배민클럽 등), 클라우드·생산성 툴 (예: icloud / notion 등), 통신사 결합상품·구독 혜택</x:v>
      </x:c>
      <x:c r="F32" s="382" t="str">
        <x:v>5~10만원 이상</x:v>
      </x:c>
      <x:c r="G32" s="382" t="n">
        <x:v>3</x:v>
      </x:c>
      <x:c r="H32" s="382" t="str">
        <x:v>자주 있다</x:v>
      </x:c>
      <x:c r="I32" s="382" t="str">
        <x:v>가끔 있다</x:v>
      </x:c>
      <x:c r="J32" s="382" t="n">
        <x:v>4</x:v>
      </x:c>
      <x:c r="K32" s="382"/>
      <x:c r="L32" s="382" t="str">
        <x:v>일부만 알고 있다</x:v>
      </x:c>
      <x:c r="M32" s="382" t="str">
        <x:v>따로 관리하지 않음, 결제 문자·푸시 알림</x:v>
      </x:c>
      <x:c r="N32" s="382" t="str">
        <x:v>자동 갱신일, 할인 종료일</x:v>
      </x:c>
      <x:c r="O32" s="382" t="str">
        <x:v>없다</x:v>
      </x:c>
      <x:c r="P32" s="382" t="str">
        <x:v>어떤 정보를 기록해야 할지 모르겠음</x:v>
      </x:c>
      <x:c r="Q32" s="382"/>
      <x:c r="R32" s="382" t="str">
        <x:v>없음</x:v>
      </x:c>
      <x:c r="S32" s="382"/>
      <x:c r="T32" s="382"/>
      <x:c r="U32" s="382"/>
      <x:c r="V32" s="382" t="str">
        <x:v>매월 총 얼마를 지출하는지 파악하기 어려움, 결제일·갱신일을 관리하기 어려움, 기존 상품과 중복되는 구독·혜택을 확인하기 어려움</x:v>
      </x:c>
      <x:c r="W32" s="382" t="str">
        <x:v>그냥 유지</x:v>
      </x:c>
      <x:c r="X32" s="382" t="str">
        <x:v>현재 이용 중인 전체 구독·멤버십, 내가 현재 보유한 전체 혜택, 기존 상품과 중복 가능성이 있는 구독·혜택</x:v>
      </x:c>
      <x:c r="Y32" s="382" t="str">
        <x:v>보유 혜택과 별도 구독이 겹칠 가능성이 있을 때, 공동 구독 정산 시점</x:v>
      </x:c>
      <x:c r="Z32" s="382" t="str">
        <x:v>이용하고 있는 서비스를 한눈에 볼수 있었으면 좋겠다</x:v>
      </x:c>
    </x:row>
    <x:row r="33" ht="42" customHeight="1">
      <x:c r="A33" s="400" t="n">
        <x:v>46255.740800914355</x:v>
      </x:c>
      <x:c r="B33" s="382" t="str">
        <x:v>40대</x:v>
      </x:c>
      <x:c r="C33" s="382" t="str">
        <x:v>프리랜서·자영업</x:v>
      </x:c>
      <x:c r="D33" s="382" t="str">
        <x:v>잘 모르겠다</x:v>
      </x:c>
      <x:c r="E33" s="382" t="str">
        <x:v>OTT (예: 넷플릭스 등), 생성형 AI (예: GPT 등), 음악·전자책·콘텐츠 (예 : Melon 등), 쇼핑 멤버십 (예 : 네이버+ 멤버십 등), 배달 멤버십 (예: 배민클럽 등), 통신사 결합상품·구독 혜택</x:v>
      </x:c>
      <x:c r="F33" s="382" t="str">
        <x:v>잘 모르겠다</x:v>
      </x:c>
      <x:c r="G33" s="382" t="n">
        <x:v>1</x:v>
      </x:c>
      <x:c r="H33" s="382" t="str">
        <x:v>자주 있다</x:v>
      </x:c>
      <x:c r="I33" s="382" t="str">
        <x:v>가끔 있다</x:v>
      </x:c>
      <x:c r="J33" s="382" t="n">
        <x:v>4</x:v>
      </x:c>
      <x:c r="K33" s="382"/>
      <x:c r="L33" s="382" t="str">
        <x:v>모른다</x:v>
      </x:c>
      <x:c r="M33" s="382" t="str">
        <x:v>따로 관리하지 않음</x:v>
      </x:c>
      <x:c r="N33" s="382" t="str">
        <x:v>무료체험 종료일, 할인 종료일</x:v>
      </x:c>
      <x:c r="O33" s="382" t="str">
        <x:v>없다</x:v>
      </x:c>
      <x:c r="P33" s="382" t="str">
        <x:v>직접 입력하기 귀찮음</x:v>
      </x:c>
      <x:c r="Q33" s="382"/>
      <x:c r="R33" s="382" t="str">
        <x:v>2~3개</x:v>
      </x:c>
      <x:c r="S33" s="382" t="str">
        <x:v>한 명이 전액 부담</x:v>
      </x:c>
      <x:c r="T33" s="382" t="n">
        <x:v>2</x:v>
      </x:c>
      <x:c r="U33" s="382" t="str">
        <x:v>요금제·가격 변경 반영</x:v>
      </x:c>
      <x:c r="V33" s="382" t="str">
        <x:v>현재 어떤 상품을 이용 중인지 한눈에 보기 어려움, 매월 총 얼마를 지출하는지 파악하기 어려움, 결제일·갱신일을 관리하기 어려움, 기존 상품과 중복되는 구독·혜택을 확인하기 어려움</x:v>
      </x:c>
      <x:c r="W33" s="382" t="str">
        <x:v>완전 해지</x:v>
      </x:c>
      <x:c r="X33" s="382" t="str">
        <x:v>현재 이용 중인 전체 구독·멤버십, 이번 달 총 결제 예정금액, 내가 현재 보유한 전체 혜택, 기존 상품과 중복 가능성이 있는 구독·혜택, 더 유리한 이용방법, 변경·해지하기 적절한 시점</x:v>
      </x:c>
      <x:c r="Y33" s="382" t="str">
        <x:v>혜택 사용기간 종료 전</x:v>
      </x:c>
      <x:c r="Z33" s="382"/>
    </x:row>
    <x:row r="34" ht="42" customHeight="1">
      <x:c r="A34" s="400" t="n">
        <x:v>46255.74170594907</x:v>
      </x:c>
      <x:c r="B34" s="382" t="str">
        <x:v>50대 이상</x:v>
      </x:c>
      <x:c r="C34" s="382" t="str">
        <x:v>주부</x:v>
      </x:c>
      <x:c r="D34" s="382" t="str">
        <x:v>1~3개</x:v>
      </x:c>
      <x:c r="E34" s="382" t="str">
        <x:v>통신사 결합상품·구독 혜택</x:v>
      </x:c>
      <x:c r="F34" s="382" t="str">
        <x:v>1만원 미만</x:v>
      </x:c>
      <x:c r="G34" s="382" t="n">
        <x:v>5</x:v>
      </x:c>
      <x:c r="H34" s="382" t="str">
        <x:v>기억나지 않는다</x:v>
      </x:c>
      <x:c r="I34" s="382" t="str">
        <x:v>거의 없다</x:v>
      </x:c>
      <x:c r="J34" s="382" t="n">
        <x:v>1</x:v>
      </x:c>
      <x:c r="K34" s="382"/>
      <x:c r="L34" s="382" t="str">
        <x:v>정확히 알고 있다</x:v>
      </x:c>
      <x:c r="M34" s="382" t="str">
        <x:v>따로 관리하지 않음</x:v>
      </x:c>
      <x:c r="N34" s="382" t="str">
        <x:v>무료체험 종료일</x:v>
      </x:c>
      <x:c r="O34" s="382" t="str">
        <x:v>없다</x:v>
      </x:c>
      <x:c r="P34" s="382" t="str">
        <x:v>기존 알림으로 충분함</x:v>
      </x:c>
      <x:c r="Q34" s="382"/>
      <x:c r="R34" s="382" t="str">
        <x:v>없음</x:v>
      </x:c>
      <x:c r="S34" s="382"/>
      <x:c r="T34" s="382"/>
      <x:c r="U34" s="382"/>
      <x:c r="V34" s="382" t="str">
        <x:v>특별히 불편하지 않음</x:v>
      </x:c>
      <x:c r="W34" s="382" t="str">
        <x:v>결합·할인상품으로 변경</x:v>
      </x:c>
      <x:c r="X34" s="382" t="str">
        <x:v>내가 현재 보유한 전체 혜택</x:v>
      </x:c>
      <x:c r="Y34" s="382" t="str">
        <x:v>무료체험 종료 및 자동 갱신 전</x:v>
      </x:c>
      <x:c r="Z34" s="382"/>
    </x:row>
    <x:row r="35" ht="42" customHeight="1">
      <x:c r="A35" s="400" t="n">
        <x:v>46255.74217524305</x:v>
      </x:c>
      <x:c r="B35" s="382" t="str">
        <x:v>20대</x:v>
      </x:c>
      <x:c r="C35" s="382" t="str">
        <x:v>직장인</x:v>
      </x:c>
      <x:c r="D35" s="382" t="str">
        <x:v>1~3개</x:v>
      </x:c>
      <x:c r="E35" s="382" t="str">
        <x:v>OTT (예: 넷플릭스 등), 생성형 AI (예: GPT 등), 음악·전자책·콘텐츠 (예 : Melon 등), 클라우드·생산성 툴 (예: icloud / notion 등)</x:v>
      </x:c>
      <x:c r="F35" s="382" t="str">
        <x:v>1~5만원</x:v>
      </x:c>
      <x:c r="G35" s="382" t="n">
        <x:v>2</x:v>
      </x:c>
      <x:c r="H35" s="382" t="str">
        <x:v>가끔 있다</x:v>
      </x:c>
      <x:c r="I35" s="382" t="str">
        <x:v>가끔 있다</x:v>
      </x:c>
      <x:c r="J35" s="382" t="n">
        <x:v>4</x:v>
      </x:c>
      <x:c r="K35" s="382"/>
      <x:c r="L35" s="382" t="str">
        <x:v>일부만 알고 있다</x:v>
      </x:c>
      <x:c r="M35" s="382" t="str">
        <x:v>기억에 의존, 결제 문자·푸시 알림, 가족·친구가 관리</x:v>
      </x:c>
      <x:c r="N35" s="382" t="str">
        <x:v>자동 갱신일</x:v>
      </x:c>
      <x:c r="O35" s="382" t="str">
        <x:v>없다</x:v>
      </x:c>
      <x:c r="P35" s="382" t="str">
        <x:v>직접 입력하기 귀찮음</x:v>
      </x:c>
      <x:c r="Q35" s="382"/>
      <x:c r="R35" s="382" t="str">
        <x:v>2~3개</x:v>
      </x:c>
      <x:c r="S35" s="382" t="str">
        <x:v>한 명이 전액 부담</x:v>
      </x:c>
      <x:c r="T35" s="382" t="n">
        <x:v>4</x:v>
      </x:c>
      <x:c r="U35" s="382" t="str">
        <x:v>요금제·가격 변경 반영</x:v>
      </x:c>
      <x:c r="V35" s="382" t="str">
        <x:v>현재 어떤 상품을 이용 중인지 한눈에 보기 어려움, 특별히 불편하지 않음</x:v>
      </x:c>
      <x:c r="W35" s="382" t="str">
        <x:v>완전 해지</x:v>
      </x:c>
      <x:c r="X35" s="382" t="str">
        <x:v>현재 이용 중인 전체 구독·멤버십, 이번 달 총 결제 예정금액, 내가 현재 보유한 전체 혜택</x:v>
      </x:c>
      <x:c r="Y35" s="382" t="str">
        <x:v>무료체험 종료 및 자동 갱신 전, 공동 구독 정산 시점</x:v>
      </x:c>
      <x:c r="Z35" s="382" t="str">
        <x:v>구독서비스 통합관리 시스템 만들어주세요 </x:v>
      </x:c>
    </x:row>
    <x:row r="36" ht="42" customHeight="1">
      <x:c r="A36" s="400" t="n">
        <x:v>46255.74230380787</x:v>
      </x:c>
      <x:c r="B36" s="382" t="str">
        <x:v>20대</x:v>
      </x:c>
      <x:c r="C36" s="382" t="str">
        <x:v>직장인</x:v>
      </x:c>
      <x:c r="D36" s="382" t="str">
        <x:v>1~3개</x:v>
      </x:c>
      <x:c r="E36" s="382" t="str">
        <x:v>OTT (예: 넷플릭스 등), 음악·전자책·콘텐츠 (예 : Melon 등), 배달 멤버십 (예: 배민클럽 등), 통신사 결합상품·구독 혜택</x:v>
      </x:c>
      <x:c r="F36" s="382" t="str">
        <x:v>1~5만원</x:v>
      </x:c>
      <x:c r="G36" s="382" t="n">
        <x:v>2</x:v>
      </x:c>
      <x:c r="H36" s="382" t="str">
        <x:v>없다</x:v>
      </x:c>
      <x:c r="I36" s="382" t="str">
        <x:v>자주있다</x:v>
      </x:c>
      <x:c r="J36" s="382" t="n">
        <x:v>1</x:v>
      </x:c>
      <x:c r="K36" s="382"/>
      <x:c r="L36" s="382" t="str">
        <x:v>정확히 알고 있다</x:v>
      </x:c>
      <x:c r="M36" s="382" t="str">
        <x:v>캘린더</x:v>
      </x:c>
      <x:c r="N36" s="382" t="str">
        <x:v>가격 인상 적용일, 할인 종료일</x:v>
      </x:c>
      <x:c r="O36" s="382" t="str">
        <x:v>있다</x:v>
      </x:c>
      <x:c r="P36" s="382"/>
      <x:c r="Q36" s="382" t="str">
        <x:v>무료체험 종료일</x:v>
      </x:c>
      <x:c r="R36" s="382" t="str">
        <x:v>2~3개</x:v>
      </x:c>
      <x:c r="S36" s="382" t="str">
        <x:v>번갈아 결제</x:v>
      </x:c>
      <x:c r="T36" s="382" t="n">
        <x:v>1</x:v>
      </x:c>
      <x:c r="U36" s="382" t="str">
        <x:v>없다</x:v>
      </x:c>
      <x:c r="V36" s="382" t="str">
        <x:v>특별히 불편하지 않음</x:v>
      </x:c>
      <x:c r="W36" s="382" t="str">
        <x:v>완전 해지</x:v>
      </x:c>
      <x:c r="X36" s="382" t="str">
        <x:v>이번 달 총 결제 예정금액</x:v>
      </x:c>
      <x:c r="Y36" s="382" t="str">
        <x:v>혜택 사용기간 종료 전</x:v>
      </x:c>
      <x:c r="Z36" s="382" t="str">
        <x:v>따로 결제하기 너무 귀찮다 구독 관리 가능한 어플을 만들어 원클릭 한번에 결제 가능하면 참 편할 것 같다 생각함 </x:v>
      </x:c>
    </x:row>
    <x:row r="37" ht="42" customHeight="1">
      <x:c r="A37" s="400" t="n">
        <x:v>46255.74575353009</x:v>
      </x:c>
      <x:c r="B37" s="382" t="str">
        <x:v>50대 이상</x:v>
      </x:c>
      <x:c r="C37" s="382" t="str">
        <x:v>프리랜서·자영업</x:v>
      </x:c>
      <x:c r="D37" s="382" t="str">
        <x:v>잘 모르겠다</x:v>
      </x:c>
      <x:c r="E37" s="382" t="str">
        <x:v>OTT (예: 넷플릭스 등)</x:v>
      </x:c>
      <x:c r="F37" s="382" t="str">
        <x:v>잘 모르겠다</x:v>
      </x:c>
      <x:c r="G37" s="382" t="n">
        <x:v>5</x:v>
      </x:c>
      <x:c r="H37" s="382" t="str">
        <x:v>없다</x:v>
      </x:c>
      <x:c r="I37" s="382" t="str">
        <x:v>전혀 없다</x:v>
      </x:c>
      <x:c r="J37" s="382" t="n">
        <x:v>5</x:v>
      </x:c>
      <x:c r="K37" s="382"/>
      <x:c r="L37" s="382" t="str">
        <x:v>모른다</x:v>
      </x:c>
      <x:c r="M37" s="382" t="str">
        <x:v>따로 관리하지 않음</x:v>
      </x:c>
      <x:c r="N37" s="382" t="str">
        <x:v>경험 없음</x:v>
      </x:c>
      <x:c r="O37" s="382" t="str">
        <x:v>없다</x:v>
      </x:c>
      <x:c r="P37" s="382" t="str">
        <x:v>필요성을 못 느낌</x:v>
      </x:c>
      <x:c r="Q37" s="382"/>
      <x:c r="R37" s="382" t="str">
        <x:v>없음</x:v>
      </x:c>
      <x:c r="S37" s="382"/>
      <x:c r="T37" s="382"/>
      <x:c r="U37" s="382"/>
      <x:c r="V37" s="382" t="str">
        <x:v>현재 어떤 상품을 이용 중인지 한눈에 보기 어려움</x:v>
      </x:c>
      <x:c r="W37" s="382" t="str">
        <x:v>완전 해지</x:v>
      </x:c>
      <x:c r="X37" s="382" t="str">
        <x:v>별로 필요하지 않음</x:v>
      </x:c>
      <x:c r="Y37" s="382" t="str">
        <x:v>알림이 필요하지 않음</x:v>
      </x:c>
      <x:c r="Z37" s="382"/>
    </x:row>
    <x:row r="38" ht="42" customHeight="1">
      <x:c r="A38" s="400" t="n">
        <x:v>46255.74699690972</x:v>
      </x:c>
      <x:c r="B38" s="382" t="str">
        <x:v>50대 이상</x:v>
      </x:c>
      <x:c r="C38" s="382" t="str">
        <x:v>주부</x:v>
      </x:c>
      <x:c r="D38" s="382" t="str">
        <x:v>1~3개</x:v>
      </x:c>
      <x:c r="E38" s="382" t="str">
        <x:v>OTT (예: 넷플릭스 등), 생성형 AI (예: GPT 등), 음악·전자책·콘텐츠 (예 : Melon 등), 쇼핑 멤버십 (예 : 네이버+ 멤버십 등), 배달 멤버십 (예: 배민클럽 등)</x:v>
      </x:c>
      <x:c r="F38" s="382" t="str">
        <x:v>1~5만원</x:v>
      </x:c>
      <x:c r="G38" s="382" t="n">
        <x:v>1</x:v>
      </x:c>
      <x:c r="H38" s="382" t="str">
        <x:v>자주 있다</x:v>
      </x:c>
      <x:c r="I38" s="382" t="str">
        <x:v>전혀 없다</x:v>
      </x:c>
      <x:c r="J38" s="382" t="n">
        <x:v>5</x:v>
      </x:c>
      <x:c r="K38" s="382"/>
      <x:c r="L38" s="382" t="str">
        <x:v>모른다</x:v>
      </x:c>
      <x:c r="M38" s="382" t="str">
        <x:v>따로 관리하지 않음, 결제 문자·푸시 알림</x:v>
      </x:c>
      <x:c r="N38" s="382" t="str">
        <x:v>경험 없음</x:v>
      </x:c>
      <x:c r="O38" s="382" t="str">
        <x:v>있다</x:v>
      </x:c>
      <x:c r="P38" s="382"/>
      <x:c r="Q38" s="382" t="str">
        <x:v>결제일</x:v>
      </x:c>
      <x:c r="R38" s="382" t="str">
        <x:v>1개</x:v>
      </x:c>
      <x:c r="S38" s="382" t="str">
        <x:v>한 명이 전액 부담</x:v>
      </x:c>
      <x:c r="T38" s="382" t="n">
        <x:v>2</x:v>
      </x:c>
      <x:c r="U38" s="382" t="str">
        <x:v>공유 인원 변경</x:v>
      </x:c>
      <x:c r="V38" s="382" t="str">
        <x:v>현재 어떤 상품을 이용 중인지 한눈에 보기 어려움, 혜택 적용 조건이 복잡함, 결제일·갱신일을 관리하기 어려움</x:v>
      </x:c>
      <x:c r="W38" s="382" t="str">
        <x:v>기타</x:v>
      </x:c>
      <x:c r="X38" s="382" t="str">
        <x:v>현재 이용 중인 전체 구독·멤버십, 기존 상품과 중복 가능성이 있는 구독·혜택, 변경·해지하기 적절한 시점</x:v>
      </x:c>
      <x:c r="Y38" s="382" t="str">
        <x:v>무료체험 종료 및 자동 갱신 전, 혜택 사용기간 종료 전, 통신·인터넷 약정 종료 전, 가격 인상 적용 전, 보유 혜택과 별도 구독이 겹칠 가능성이 있을 때, 공동 구독 정산 시점</x:v>
      </x:c>
      <x:c r="Z38" s="382"/>
    </x:row>
    <x:row r="39" ht="42" customHeight="1">
      <x:c r="A39" s="400" t="n">
        <x:v>46255.74699773148</x:v>
      </x:c>
      <x:c r="B39" s="382" t="str">
        <x:v>40대</x:v>
      </x:c>
      <x:c r="C39" s="382" t="str">
        <x:v>직장인</x:v>
      </x:c>
      <x:c r="D39" s="382" t="str">
        <x:v>7개 이상</x:v>
      </x:c>
      <x:c r="E39" s="382" t="str">
        <x:v>OTT (예: 넷플릭스 등), 생성형 AI (예: GPT 등), 쇼핑 멤버십 (예 : 네이버+ 멤버십 등), 배달 멤버십 (예: 배민클럽 등), 통신사 결합상품·구독 혜택</x:v>
      </x:c>
      <x:c r="F39" s="382" t="str">
        <x:v>5~10만원 이상</x:v>
      </x:c>
      <x:c r="G39" s="382" t="n">
        <x:v>4</x:v>
      </x:c>
      <x:c r="H39" s="382" t="str">
        <x:v>가끔 있다</x:v>
      </x:c>
      <x:c r="I39" s="382" t="str">
        <x:v>자주있다</x:v>
      </x:c>
      <x:c r="J39" s="382" t="n">
        <x:v>5</x:v>
      </x:c>
      <x:c r="K39" s="382"/>
      <x:c r="L39" s="382" t="str">
        <x:v>일부만 알고 있다</x:v>
      </x:c>
      <x:c r="M39" s="382" t="str">
        <x:v>메모·노션·엑셀</x:v>
      </x:c>
      <x:c r="N39" s="382" t="str">
        <x:v>무료체험 종료일, 자동 갱신일, 가격 인상 적용일, 할인 종료일, 일시정지한 구독의 재개 시점</x:v>
      </x:c>
      <x:c r="O39" s="382" t="str">
        <x:v>없다</x:v>
      </x:c>
      <x:c r="P39" s="382" t="str">
        <x:v>어떤 정보를 기록해야 할지 모르겠음</x:v>
      </x:c>
      <x:c r="Q39" s="382"/>
      <x:c r="R39" s="382" t="str">
        <x:v>4개 이상</x:v>
      </x:c>
      <x:c r="S39" s="382" t="str">
        <x:v>비정기적으로 정산</x:v>
      </x:c>
      <x:c r="T39" s="382" t="n">
        <x:v>1</x:v>
      </x:c>
      <x:c r="U39" s="382" t="str">
        <x:v>정산 시점 기억</x:v>
      </x:c>
      <x:c r="V39" s="382" t="str">
        <x:v>현재 어떤 상품을 이용 중인지 한눈에 보기 어려움, 매월 총 얼마를 지출하는지 파악하기 어려움, 혜택 적용 조건이 복잡함, 결제일·갱신일을 관리하기 어려움, 기존 상품과 중복되는 구독·혜택을 확인하기 어려움, 여러 앱·사이트를 확인해야 해서 번거로움</x:v>
      </x:c>
      <x:c r="W39" s="382" t="str">
        <x:v>완전 해지</x:v>
      </x:c>
      <x:c r="X39" s="382" t="str">
        <x:v>현재 이용 중인 전체 구독·멤버십, 내가 현재 보유한 전체 혜택, 기존 상품과 중복 가능성이 있는 구독·혜택, 더 유리한 이용방법, 공동 구독 상품 및 정산정보</x:v>
      </x:c>
      <x:c r="Y39" s="382" t="str">
        <x:v>무료체험 종료 및 자동 갱신 전, 혜택 사용기간 종료 전, 통신·인터넷 약정 종료 전, 가격 인상 적용 전</x:v>
      </x:c>
      <x:c r="Z39" s="382"/>
    </x:row>
    <x:row r="40" ht="42" customHeight="1">
      <x:c r="A40" s="400" t="n">
        <x:v>46255.74763760417</x:v>
      </x:c>
      <x:c r="B40" s="382" t="str">
        <x:v>50대 이상</x:v>
      </x:c>
      <x:c r="C40" s="382" t="str">
        <x:v>직장인</x:v>
      </x:c>
      <x:c r="D40" s="382" t="str">
        <x:v>1~3개</x:v>
      </x:c>
      <x:c r="E40" s="382" t="str">
        <x:v>OTT (예: 넷플릭스 등), 쇼핑 멤버십 (예 : 네이버+ 멤버십 등), 통신사 결합상품·구독 혜택</x:v>
      </x:c>
      <x:c r="F40" s="382" t="str">
        <x:v>1~5만원</x:v>
      </x:c>
      <x:c r="G40" s="382" t="n">
        <x:v>2</x:v>
      </x:c>
      <x:c r="H40" s="382" t="str">
        <x:v>자주 있다</x:v>
      </x:c>
      <x:c r="I40" s="382" t="str">
        <x:v>거의 없다</x:v>
      </x:c>
      <x:c r="J40" s="382" t="n">
        <x:v>4</x:v>
      </x:c>
      <x:c r="K40" s="382"/>
      <x:c r="L40" s="382" t="str">
        <x:v>일부만 알고 있다</x:v>
      </x:c>
      <x:c r="M40" s="382" t="str">
        <x:v>결제 문자·푸시 알림</x:v>
      </x:c>
      <x:c r="N40" s="382" t="str">
        <x:v>무료체험 종료일, 할인 종료일</x:v>
      </x:c>
      <x:c r="O40" s="382" t="str">
        <x:v>없다</x:v>
      </x:c>
      <x:c r="P40" s="382" t="str">
        <x:v>직접 입력하기 귀찮음</x:v>
      </x:c>
      <x:c r="Q40" s="382"/>
      <x:c r="R40" s="382" t="str">
        <x:v>2~3개</x:v>
      </x:c>
      <x:c r="S40" s="382" t="str">
        <x:v>한 명이 전액 부담</x:v>
      </x:c>
      <x:c r="T40" s="382" t="n">
        <x:v>4</x:v>
      </x:c>
      <x:c r="U40" s="382" t="str">
        <x:v>정산 시점 기억</x:v>
      </x:c>
      <x:c r="V40" s="382" t="str">
        <x:v>현재 어떤 상품을 이용 중인지 한눈에 보기 어려움</x:v>
      </x:c>
      <x:c r="W40" s="382" t="str">
        <x:v>완전 해지</x:v>
      </x:c>
      <x:c r="X40" s="382" t="str">
        <x:v>현재 이용 중인 전체 구독·멤버십, 더 유리한 이용방법, 변경·해지하기 적절한 시점</x:v>
      </x:c>
      <x:c r="Y40" s="382" t="str">
        <x:v>통신·인터넷 약정 종료 전</x:v>
      </x:c>
      <x:c r="Z40" s="382"/>
    </x:row>
    <x:row r="41" ht="42" customHeight="1">
      <x:c r="A41" s="400" t="n">
        <x:v>46255.747710474534</x:v>
      </x:c>
      <x:c r="B41" s="382" t="str">
        <x:v>40대</x:v>
      </x:c>
      <x:c r="C41" s="382" t="str">
        <x:v>직장인</x:v>
      </x:c>
      <x:c r="D41" s="382" t="str">
        <x:v>1~3개</x:v>
      </x:c>
      <x:c r="E41" s="382" t="str">
        <x:v>OTT (예: 넷플릭스 등), 음악·전자책·콘텐츠 (예 : Melon 등), 쇼핑 멤버십 (예 : 네이버+ 멤버십 등), 배달 멤버십 (예: 배민클럽 등)</x:v>
      </x:c>
      <x:c r="F41" s="382" t="str">
        <x:v>1~5만원</x:v>
      </x:c>
      <x:c r="G41" s="382" t="n">
        <x:v>3</x:v>
      </x:c>
      <x:c r="H41" s="382" t="str">
        <x:v>가끔 있다</x:v>
      </x:c>
      <x:c r="I41" s="382" t="str">
        <x:v>거의 없다</x:v>
      </x:c>
      <x:c r="J41" s="382" t="n">
        <x:v>3</x:v>
      </x:c>
      <x:c r="K41" s="382"/>
      <x:c r="L41" s="382" t="str">
        <x:v>일부만 알고 있다</x:v>
      </x:c>
      <x:c r="M41" s="382" t="str">
        <x:v>기억에 의존</x:v>
      </x:c>
      <x:c r="N41" s="382" t="str">
        <x:v>무료체험 종료일</x:v>
      </x:c>
      <x:c r="O41" s="382" t="str">
        <x:v>있다</x:v>
      </x:c>
      <x:c r="P41" s="382"/>
      <x:c r="Q41" s="382" t="str">
        <x:v>무료체험 종료일</x:v>
      </x:c>
      <x:c r="R41" s="382" t="str">
        <x:v>1개</x:v>
      </x:c>
      <x:c r="S41" s="382" t="str">
        <x:v>한 명이 전액 부담</x:v>
      </x:c>
      <x:c r="T41" s="382" t="n">
        <x:v>1</x:v>
      </x:c>
      <x:c r="U41" s="382" t="str">
        <x:v>공유 인원 변경</x:v>
      </x:c>
      <x:c r="V41" s="382" t="str">
        <x:v>매월 총 얼마를 지출하는지 파악하기 어려움</x:v>
      </x:c>
      <x:c r="W41" s="382" t="str">
        <x:v>완전 해지</x:v>
      </x:c>
      <x:c r="X41" s="382" t="str">
        <x:v>현재 이용 중인 전체 구독·멤버십, 이번 달 총 결제 예정금액, 내가 현재 보유한 전체 혜택</x:v>
      </x:c>
      <x:c r="Y41" s="382" t="str">
        <x:v>무료체험 종료 및 자동 갱신 전, 보유 혜택과 별도 구독이 겹칠 가능성이 있을 때</x:v>
      </x:c>
      <x:c r="Z41" s="382"/>
    </x:row>
    <x:row r="42" ht="42" customHeight="1">
      <x:c r="A42" s="400" t="n">
        <x:v>46255.74806298611</x:v>
      </x:c>
      <x:c r="B42" s="382" t="str">
        <x:v>40대</x:v>
      </x:c>
      <x:c r="C42" s="382" t="str">
        <x:v>프리랜서·자영업</x:v>
      </x:c>
      <x:c r="D42" s="382" t="str">
        <x:v>4~6개</x:v>
      </x:c>
      <x:c r="E42" s="382" t="str">
        <x:v>OTT (예: 넷플릭스 등), 음악·전자책·콘텐츠 (예 : Melon 등), 쇼핑 멤버십 (예 : 네이버+ 멤버십 등), 통신사 결합상품·구독 혜택</x:v>
      </x:c>
      <x:c r="F42" s="382" t="str">
        <x:v>1~5만원</x:v>
      </x:c>
      <x:c r="G42" s="382" t="n">
        <x:v>1</x:v>
      </x:c>
      <x:c r="H42" s="382" t="str">
        <x:v>자주 있다</x:v>
      </x:c>
      <x:c r="I42" s="382" t="str">
        <x:v>거의 없다</x:v>
      </x:c>
      <x:c r="J42" s="382" t="n">
        <x:v>5</x:v>
      </x:c>
      <x:c r="K42" s="382"/>
      <x:c r="L42" s="382" t="str">
        <x:v>모른다</x:v>
      </x:c>
      <x:c r="M42" s="382" t="str">
        <x:v>기억에 의존</x:v>
      </x:c>
      <x:c r="N42" s="382" t="str">
        <x:v>자동 갱신일, 할인 종료일, 통신·인터넷 약정 종료일</x:v>
      </x:c>
      <x:c r="O42" s="382" t="str">
        <x:v>있다</x:v>
      </x:c>
      <x:c r="P42" s="382"/>
      <x:c r="Q42" s="382" t="str">
        <x:v>무료체험 종료일</x:v>
      </x:c>
      <x:c r="R42" s="382" t="str">
        <x:v>2~3개</x:v>
      </x:c>
      <x:c r="S42" s="382" t="str">
        <x:v>한 명이 전액 부담</x:v>
      </x:c>
      <x:c r="T42" s="382" t="n">
        <x:v>4</x:v>
      </x:c>
      <x:c r="U42" s="382" t="str">
        <x:v>공유 인원 변경</x:v>
      </x:c>
      <x:c r="V42" s="382" t="str">
        <x:v>매월 총 얼마를 지출하는지 파악하기 어려움, 결제일·갱신일을 관리하기 어려움, 기존 상품과 중복되는 구독·혜택을 확인하기 어려움, 여러 앱·사이트를 확인해야 해서 번거로움</x:v>
      </x:c>
      <x:c r="W42" s="382" t="str">
        <x:v>완전 해지</x:v>
      </x:c>
      <x:c r="X42" s="382" t="str">
        <x:v>이번 달 총 결제 예정금액, 내가 현재 보유한 전체 혜택, 더 유리한 이용방법</x:v>
      </x:c>
      <x:c r="Y42" s="382" t="str">
        <x:v>무료체험 종료 및 자동 갱신 전, 혜택 사용기간 종료 전</x:v>
      </x:c>
      <x:c r="Z42" s="382"/>
    </x:row>
    <x:row r="43" ht="42" customHeight="1">
      <x:c r="A43" s="400" t="n">
        <x:v>46255.74815559028</x:v>
      </x:c>
      <x:c r="B43" s="382" t="str">
        <x:v>30대</x:v>
      </x:c>
      <x:c r="C43" s="382" t="str">
        <x:v>기타 (무직 포함)</x:v>
      </x:c>
      <x:c r="D43" s="382" t="str">
        <x:v>1~3개</x:v>
      </x:c>
      <x:c r="E43" s="382" t="str">
        <x:v>OTT (예: 넷플릭스 등), 생성형 AI (예: GPT 등), 음악·전자책·콘텐츠 (예 : Melon 등), 쇼핑 멤버십 (예 : 네이버+ 멤버십 등)</x:v>
      </x:c>
      <x:c r="F43" s="382" t="str">
        <x:v>5~10만원 이상</x:v>
      </x:c>
      <x:c r="G43" s="382" t="n">
        <x:v>3</x:v>
      </x:c>
      <x:c r="H43" s="382" t="str">
        <x:v>가끔 있다</x:v>
      </x:c>
      <x:c r="I43" s="382" t="str">
        <x:v>거의 없다</x:v>
      </x:c>
      <x:c r="J43" s="382" t="n">
        <x:v>4</x:v>
      </x:c>
      <x:c r="K43" s="382"/>
      <x:c r="L43" s="382" t="str">
        <x:v>일부만 알고 있다</x:v>
      </x:c>
      <x:c r="M43" s="382" t="str">
        <x:v>따로 관리하지 않음, 결제 문자·푸시 알림</x:v>
      </x:c>
      <x:c r="N43" s="382" t="str">
        <x:v>경험 없음</x:v>
      </x:c>
      <x:c r="O43" s="382" t="str">
        <x:v>있다</x:v>
      </x:c>
      <x:c r="P43" s="382"/>
      <x:c r="Q43" s="382" t="str">
        <x:v>갱신일</x:v>
      </x:c>
      <x:c r="R43" s="382" t="str">
        <x:v>없음</x:v>
      </x:c>
      <x:c r="S43" s="382"/>
      <x:c r="T43" s="382"/>
      <x:c r="U43" s="382"/>
      <x:c r="V43" s="382" t="str">
        <x:v>여러 앱·사이트를 확인해야 해서 번거로움</x:v>
      </x:c>
      <x:c r="W43" s="382" t="str">
        <x:v>완전 해지</x:v>
      </x:c>
      <x:c r="X43" s="382" t="str">
        <x:v>현재 이용 중인 전체 구독·멤버십</x:v>
      </x:c>
      <x:c r="Y43" s="382" t="str">
        <x:v>무료체험 종료 및 자동 갱신 전</x:v>
      </x:c>
      <x:c r="Z43" s="382"/>
    </x:row>
    <x:row r="44" ht="42" customHeight="1">
      <x:c r="A44" s="400" t="n">
        <x:v>46255.74817390046</x:v>
      </x:c>
      <x:c r="B44" s="382" t="str">
        <x:v>20대</x:v>
      </x:c>
      <x:c r="C44" s="382" t="str">
        <x:v>직장인</x:v>
      </x:c>
      <x:c r="D44" s="382" t="str">
        <x:v>1~3개</x:v>
      </x:c>
      <x:c r="E44" s="382" t="str">
        <x:v>음악·전자책·콘텐츠 (예 : Melon 등), 배달 멤버십 (예: 배민클럽 등)</x:v>
      </x:c>
      <x:c r="F44" s="382" t="str">
        <x:v>1~5만원</x:v>
      </x:c>
      <x:c r="G44" s="382" t="n">
        <x:v>3</x:v>
      </x:c>
      <x:c r="H44" s="382" t="str">
        <x:v>기억나지 않는다</x:v>
      </x:c>
      <x:c r="I44" s="382" t="str">
        <x:v>가끔 있다</x:v>
      </x:c>
      <x:c r="J44" s="382" t="n">
        <x:v>3</x:v>
      </x:c>
      <x:c r="K44" s="382"/>
      <x:c r="L44" s="382" t="str">
        <x:v>정확히 알고 있다</x:v>
      </x:c>
      <x:c r="M44" s="382" t="str">
        <x:v>각 서비스 앱 확인</x:v>
      </x:c>
      <x:c r="N44" s="382" t="str">
        <x:v>무료체험 종료일</x:v>
      </x:c>
      <x:c r="O44" s="382" t="str">
        <x:v>없다</x:v>
      </x:c>
      <x:c r="P44" s="382" t="str">
        <x:v>직접 입력하기 귀찮음</x:v>
      </x:c>
      <x:c r="Q44" s="382"/>
      <x:c r="R44" s="382" t="str">
        <x:v>없음</x:v>
      </x:c>
      <x:c r="S44" s="382"/>
      <x:c r="T44" s="382"/>
      <x:c r="U44" s="382"/>
      <x:c r="V44" s="382" t="str">
        <x:v>혜택 적용 조건이 복잡함, 결제일·갱신일을 관리하기 어려움</x:v>
      </x:c>
      <x:c r="W44" s="382" t="str">
        <x:v>완전 해지</x:v>
      </x:c>
      <x:c r="X44" s="382" t="str">
        <x:v>현재 이용 중인 전체 구독·멤버십, 내가 현재 보유한 전체 혜택, 더 유리한 이용방법</x:v>
      </x:c>
      <x:c r="Y44" s="382" t="str">
        <x:v>무료체험 종료 및 자동 갱신 전, 혜택 사용기간 종료 전, 통신·인터넷 약정 종료 전, 가격 인상 적용 전</x:v>
      </x:c>
      <x:c r="Z44" s="382"/>
    </x:row>
    <x:row r="45" ht="42" customHeight="1">
      <x:c r="A45" s="400" t="n">
        <x:v>46255.74979930556</x:v>
      </x:c>
      <x:c r="B45" s="382" t="str">
        <x:v>50대 이상</x:v>
      </x:c>
      <x:c r="C45" s="382" t="str">
        <x:v>주부</x:v>
      </x:c>
      <x:c r="D45" s="382" t="str">
        <x:v>1~3개</x:v>
      </x:c>
      <x:c r="E45" s="382" t="str">
        <x:v>OTT (예: 넷플릭스 등), 생성형 AI (예: GPT 등), 쇼핑 멤버십 (예 : 네이버+ 멤버십 등), 배달 멤버십 (예: 배민클럽 등)</x:v>
      </x:c>
      <x:c r="F45" s="382" t="str">
        <x:v>5~10만원 이상</x:v>
      </x:c>
      <x:c r="G45" s="382" t="n">
        <x:v>2</x:v>
      </x:c>
      <x:c r="H45" s="382" t="str">
        <x:v>자주 있다</x:v>
      </x:c>
      <x:c r="I45" s="382" t="str">
        <x:v>가끔 있다</x:v>
      </x:c>
      <x:c r="J45" s="382" t="n">
        <x:v>5</x:v>
      </x:c>
      <x:c r="K45" s="382"/>
      <x:c r="L45" s="382" t="str">
        <x:v>모른다</x:v>
      </x:c>
      <x:c r="M45" s="382" t="str">
        <x:v>따로 관리하지 않음</x:v>
      </x:c>
      <x:c r="N45" s="382" t="str">
        <x:v>무료체험 종료일, 자동 갱신일, 통신·인터넷 약정 종료일</x:v>
      </x:c>
      <x:c r="O45" s="382" t="str">
        <x:v>있다</x:v>
      </x:c>
      <x:c r="P45" s="382"/>
      <x:c r="Q45" s="382" t="str">
        <x:v>갱신일</x:v>
      </x:c>
      <x:c r="R45" s="382" t="str">
        <x:v>1개</x:v>
      </x:c>
      <x:c r="S45" s="382" t="str">
        <x:v>매월 1/n로 나누어 송금</x:v>
      </x:c>
      <x:c r="T45" s="382" t="n">
        <x:v>2</x:v>
      </x:c>
      <x:c r="U45" s="382" t="str">
        <x:v>정산 시점 기억</x:v>
      </x:c>
      <x:c r="V45" s="382" t="str">
        <x:v>현재 어떤 상품을 이용 중인지 한눈에 보기 어려움, 매월 총 얼마를 지출하는지 파악하기 어려움, 혜택 적용 조건이 복잡함, 공동 구독 정산이 번거로움</x:v>
      </x:c>
      <x:c r="W45" s="382" t="str">
        <x:v>완전 해지</x:v>
      </x:c>
      <x:c r="X45" s="382" t="str">
        <x:v>현재 이용 중인 전체 구독·멤버십, 내가 현재 보유한 전체 혜택, 기존 상품과 중복 가능성이 있는 구독·혜택, 변경·해지하기 적절한 시점</x:v>
      </x:c>
      <x:c r="Y45" s="382" t="str">
        <x:v>무료체험 종료 및 자동 갱신 전, 통신·인터넷 약정 종료 전, 가격 인상 적용 전, 보유 혜택과 별도 구독이 겹칠 가능성이 있을 때</x:v>
      </x:c>
      <x:c r="Z45" s="382"/>
    </x:row>
    <x:row r="46" ht="42" customHeight="1">
      <x:c r="A46" s="400" t="n">
        <x:v>46255.74991334491</x:v>
      </x:c>
      <x:c r="B46" s="382" t="str">
        <x:v>40대</x:v>
      </x:c>
      <x:c r="C46" s="382" t="str">
        <x:v>프리랜서·자영업</x:v>
      </x:c>
      <x:c r="D46" s="382" t="str">
        <x:v>4~6개</x:v>
      </x:c>
      <x:c r="E46" s="382" t="str">
        <x:v>OTT (예: 넷플릭스 등), 음악·전자책·콘텐츠 (예 : Melon 등), 배달 멤버십 (예: 배민클럽 등)</x:v>
      </x:c>
      <x:c r="F46" s="382" t="str">
        <x:v>1~5만원</x:v>
      </x:c>
      <x:c r="G46" s="382" t="n">
        <x:v>2</x:v>
      </x:c>
      <x:c r="H46" s="382" t="str">
        <x:v>가끔 있다</x:v>
      </x:c>
      <x:c r="I46" s="382" t="str">
        <x:v>가끔 있다</x:v>
      </x:c>
      <x:c r="J46" s="382" t="n">
        <x:v>5</x:v>
      </x:c>
      <x:c r="K46" s="382"/>
      <x:c r="L46" s="382" t="str">
        <x:v>정확히 알고 있다</x:v>
      </x:c>
      <x:c r="M46" s="382" t="str">
        <x:v>결제 문자·푸시 알림</x:v>
      </x:c>
      <x:c r="N46" s="382" t="str">
        <x:v>경험 없음</x:v>
      </x:c>
      <x:c r="O46" s="382" t="str">
        <x:v>있다</x:v>
      </x:c>
      <x:c r="P46" s="382"/>
      <x:c r="Q46" s="382" t="str">
        <x:v>결제일</x:v>
      </x:c>
      <x:c r="R46" s="382" t="str">
        <x:v>2~3개</x:v>
      </x:c>
      <x:c r="S46" s="382" t="str">
        <x:v>아무나</x:v>
      </x:c>
      <x:c r="T46" s="382" t="n">
        <x:v>1</x:v>
      </x:c>
      <x:c r="U46" s="382" t="str">
        <x:v>정산금액 계산</x:v>
      </x:c>
      <x:c r="V46" s="382" t="str">
        <x:v>현재 어떤 상품을 이용 중인지 한눈에 보기 어려움</x:v>
      </x:c>
      <x:c r="W46" s="382" t="str">
        <x:v>완전 해지</x:v>
      </x:c>
      <x:c r="X46" s="382" t="str">
        <x:v>현재 이용 중인 전체 구독·멤버십</x:v>
      </x:c>
      <x:c r="Y46" s="382" t="str">
        <x:v>무료체험 종료 및 자동 갱신 전</x:v>
      </x:c>
      <x:c r="Z46" s="382"/>
    </x:row>
    <x:row r="47" ht="42" customHeight="1">
      <x:c r="A47" s="400" t="n">
        <x:v>46255.750935081014</x:v>
      </x:c>
      <x:c r="B47" s="382" t="str">
        <x:v>30대</x:v>
      </x:c>
      <x:c r="C47" s="382" t="str">
        <x:v>직장인</x:v>
      </x:c>
      <x:c r="D47" s="382" t="str">
        <x:v>1~3개</x:v>
      </x:c>
      <x:c r="E47" s="382" t="str">
        <x:v>OTT (예: 넷플릭스 등), 생성형 AI (예: GPT 등)</x:v>
      </x:c>
      <x:c r="F47" s="382" t="str">
        <x:v>1~5만원</x:v>
      </x:c>
      <x:c r="G47" s="382" t="n">
        <x:v>1</x:v>
      </x:c>
      <x:c r="H47" s="382" t="str">
        <x:v>가끔 있다</x:v>
      </x:c>
      <x:c r="I47" s="382" t="str">
        <x:v>가끔 있다</x:v>
      </x:c>
      <x:c r="J47" s="382" t="n">
        <x:v>4</x:v>
      </x:c>
      <x:c r="K47" s="382"/>
      <x:c r="L47" s="382" t="str">
        <x:v>모른다</x:v>
      </x:c>
      <x:c r="M47" s="382" t="str">
        <x:v>따로 관리하지 않음, 기억에 의존, 결제 문자·푸시 알림</x:v>
      </x:c>
      <x:c r="N47" s="382" t="str">
        <x:v>무료체험 종료일, 자동 갱신일, 가격 인상 적용일, 할인 종료일</x:v>
      </x:c>
      <x:c r="O47" s="382" t="str">
        <x:v>있다</x:v>
      </x:c>
      <x:c r="P47" s="382"/>
      <x:c r="Q47" s="382" t="str">
        <x:v>할인 종료일</x:v>
      </x:c>
      <x:c r="R47" s="382" t="str">
        <x:v>1개</x:v>
      </x:c>
      <x:c r="S47" s="382" t="str">
        <x:v>한 명이 전액 부담</x:v>
      </x:c>
      <x:c r="T47" s="382" t="n">
        <x:v>1</x:v>
      </x:c>
      <x:c r="U47" s="382" t="str">
        <x:v>정산 시점 기억</x:v>
      </x:c>
      <x:c r="V47" s="382" t="str">
        <x:v>현재 어떤 상품을 이용 중인지 한눈에 보기 어려움, 매월 총 얼마를 지출하는지 파악하기 어려움, 결제일·갱신일을 관리하기 어려움, 여러 앱·사이트를 확인해야 해서 번거로움</x:v>
      </x:c>
      <x:c r="W47" s="382" t="str">
        <x:v>완전 해지</x:v>
      </x:c>
      <x:c r="X47" s="382" t="str">
        <x:v>현재 이용 중인 전체 구독·멤버십, 이번 달 총 결제 예정금액, 더 유리한 이용방법, 공동 구독 상품 및 정산정보</x:v>
      </x:c>
      <x:c r="Y47" s="382" t="str">
        <x:v>무료체험 종료 및 자동 갱신 전, 혜택 사용기간 종료 전, 가격 인상 적용 전</x:v>
      </x:c>
      <x:c r="Z47" s="382"/>
    </x:row>
    <x:row r="48" ht="42" customHeight="1">
      <x:c r="A48" s="400" t="n">
        <x:v>46255.75104207176</x:v>
      </x:c>
      <x:c r="B48" s="382" t="str">
        <x:v>50대 이상</x:v>
      </x:c>
      <x:c r="C48" s="382" t="str">
        <x:v>프리랜서·자영업</x:v>
      </x:c>
      <x:c r="D48" s="382" t="str">
        <x:v>4~6개</x:v>
      </x:c>
      <x:c r="E48" s="382" t="str">
        <x:v>OTT (예: 넷플릭스 등), 쇼핑 멤버십 (예 : 네이버+ 멤버십 등), 배달 멤버십 (예: 배민클럽 등), 통신사 결합상품·구독 혜택</x:v>
      </x:c>
      <x:c r="F48" s="382" t="str">
        <x:v>5~10만원 이상</x:v>
      </x:c>
      <x:c r="G48" s="382" t="n">
        <x:v>3</x:v>
      </x:c>
      <x:c r="H48" s="382" t="str">
        <x:v>자주 있다</x:v>
      </x:c>
      <x:c r="I48" s="382" t="str">
        <x:v>가끔 있다</x:v>
      </x:c>
      <x:c r="J48" s="382" t="n">
        <x:v>5</x:v>
      </x:c>
      <x:c r="K48" s="382"/>
      <x:c r="L48" s="382" t="str">
        <x:v>일부만 알고 있다</x:v>
      </x:c>
      <x:c r="M48" s="382" t="str">
        <x:v>따로 관리하지 않음</x:v>
      </x:c>
      <x:c r="N48" s="382" t="str">
        <x:v>무료체험 종료일, 통신·인터넷 약정 종료일</x:v>
      </x:c>
      <x:c r="O48" s="382" t="str">
        <x:v>있다</x:v>
      </x:c>
      <x:c r="P48" s="382"/>
      <x:c r="Q48" s="382" t="str">
        <x:v>무료체험 종료일</x:v>
      </x:c>
      <x:c r="R48" s="382" t="str">
        <x:v>1개</x:v>
      </x:c>
      <x:c r="S48" s="382" t="str">
        <x:v>한 명이 전액 부담</x:v>
      </x:c>
      <x:c r="T48" s="382" t="n">
        <x:v>4</x:v>
      </x:c>
      <x:c r="U48" s="382" t="str">
        <x:v>요금제·가격 변경 반영</x:v>
      </x:c>
      <x:c r="V48" s="382" t="str">
        <x:v>현재 어떤 상품을 이용 중인지 한눈에 보기 어려움, 매월 총 얼마를 지출하는지 파악하기 어려움, 결제일·갱신일을 관리하기 어려움, 기존 상품과 중복되는 구독·혜택을 확인하기 어려움</x:v>
      </x:c>
      <x:c r="W48" s="382" t="str">
        <x:v>더 저렴한 요금제로 변경</x:v>
      </x:c>
      <x:c r="X48" s="382" t="str">
        <x:v>현재 이용 중인 전체 구독·멤버십, 이번 달 총 결제 예정금액, 내가 현재 보유한 전체 혜택</x:v>
      </x:c>
      <x:c r="Y48" s="382" t="str">
        <x:v>무료체험 종료 및 자동 갱신 전, 혜택 사용기간 종료 전, 가격 인상 적용 전</x:v>
      </x:c>
      <x:c r="Z48" s="382" t="str">
        <x:v>결제수단 한눈에관리</x:v>
      </x:c>
    </x:row>
    <x:row r="49" ht="42" customHeight="1">
      <x:c r="A49" s="400" t="n">
        <x:v>46255.75323834491</x:v>
      </x:c>
      <x:c r="B49" s="382" t="str">
        <x:v>40대</x:v>
      </x:c>
      <x:c r="C49" s="382" t="str">
        <x:v>직장인</x:v>
      </x:c>
      <x:c r="D49" s="382" t="str">
        <x:v>4~6개</x:v>
      </x:c>
      <x:c r="E49" s="382" t="str">
        <x:v>OTT (예: 넷플릭스 등), 쇼핑 멤버십 (예 : 네이버+ 멤버십 등), 배달 멤버십 (예: 배민클럽 등), T우주패스,쿠팡멤버십,티빙등등</x:v>
      </x:c>
      <x:c r="F49" s="382" t="str">
        <x:v>1~5만원</x:v>
      </x:c>
      <x:c r="G49" s="382" t="n">
        <x:v>3</x:v>
      </x:c>
      <x:c r="H49" s="382" t="str">
        <x:v>가끔 있다</x:v>
      </x:c>
      <x:c r="I49" s="382" t="str">
        <x:v>거의 없다</x:v>
      </x:c>
      <x:c r="J49" s="382" t="n">
        <x:v>4</x:v>
      </x:c>
      <x:c r="K49" s="382"/>
      <x:c r="L49" s="382" t="str">
        <x:v>일부만 알고 있다</x:v>
      </x:c>
      <x:c r="M49" s="382" t="str">
        <x:v>따로 관리하지 않음, 각 서비스 앱 확인</x:v>
      </x:c>
      <x:c r="N49" s="382" t="str">
        <x:v>경험 없음</x:v>
      </x:c>
      <x:c r="O49" s="382" t="str">
        <x:v>없다</x:v>
      </x:c>
      <x:c r="P49" s="382" t="str">
        <x:v>직접 입력하기 귀찮음</x:v>
      </x:c>
      <x:c r="Q49" s="382"/>
      <x:c r="R49" s="382" t="str">
        <x:v>1개</x:v>
      </x:c>
      <x:c r="S49" s="382" t="str">
        <x:v>한 명이 전액 부담</x:v>
      </x:c>
      <x:c r="T49" s="382" t="n">
        <x:v>1</x:v>
      </x:c>
      <x:c r="U49" s="382" t="str">
        <x:v>없음</x:v>
      </x:c>
      <x:c r="V49" s="382" t="str">
        <x:v>특별히 불편하지 않음</x:v>
      </x:c>
      <x:c r="W49" s="382" t="str">
        <x:v>결합·할인상품으로 변경</x:v>
      </x:c>
      <x:c r="X49" s="382" t="str">
        <x:v>현재 이용 중인 전체 구독·멤버십, 이번 달 총 결제 예정금액, 기존 상품과 중복 가능성이 있는 구독·혜택</x:v>
      </x:c>
      <x:c r="Y49" s="382" t="str">
        <x:v>보유 혜택과 별도 구독이 겹칠 가능성이 있을 때</x:v>
      </x:c>
      <x:c r="Z49" s="382"/>
    </x:row>
    <x:row r="50" ht="42" customHeight="1">
      <x:c r="A50" s="400" t="n">
        <x:v>46255.75356002315</x:v>
      </x:c>
      <x:c r="B50" s="382" t="str">
        <x:v>20대</x:v>
      </x:c>
      <x:c r="C50" s="382" t="str">
        <x:v>기타 (무직 포함)</x:v>
      </x:c>
      <x:c r="D50" s="382" t="str">
        <x:v>7개 이상</x:v>
      </x:c>
      <x:c r="E50" s="382" t="str">
        <x:v>OTT (예: 넷플릭스 등), 생성형 AI (예: GPT 등), 음악·전자책·콘텐츠 (예 : Melon 등), 쇼핑 멤버십 (예 : 네이버+ 멤버십 등), 게임 패스 (예 : Xbox gamepass 등), 클라우드·생산성 툴 (예: icloud / notion 등), 통신사 결합상품·구독 혜택</x:v>
      </x:c>
      <x:c r="F50" s="382" t="str">
        <x:v>5~10만원 이상</x:v>
      </x:c>
      <x:c r="G50" s="382" t="n">
        <x:v>4</x:v>
      </x:c>
      <x:c r="H50" s="382" t="str">
        <x:v>가끔 있다</x:v>
      </x:c>
      <x:c r="I50" s="382" t="str">
        <x:v>가끔 있다</x:v>
      </x:c>
      <x:c r="J50" s="382" t="n">
        <x:v>2</x:v>
      </x:c>
      <x:c r="K50" s="382"/>
      <x:c r="L50" s="382" t="str">
        <x:v>정확히 알고 있다</x:v>
      </x:c>
      <x:c r="M50" s="382" t="str">
        <x:v>결제 문자·푸시 알림, 끝나기 일주일 전 쯤 만료 예정일 알림 와요.</x:v>
      </x:c>
      <x:c r="N50" s="382" t="str">
        <x:v>경험 없음</x:v>
      </x:c>
      <x:c r="O50" s="382" t="str">
        <x:v>없다</x:v>
      </x:c>
      <x:c r="P50" s="382" t="str">
        <x:v>필요성을 못 느낌</x:v>
      </x:c>
      <x:c r="Q50" s="382"/>
      <x:c r="R50" s="382" t="str">
        <x:v>없음</x:v>
      </x:c>
      <x:c r="S50" s="382"/>
      <x:c r="T50" s="382"/>
      <x:c r="U50" s="382"/>
      <x:c r="V50" s="382" t="str">
        <x:v>특별히 불편하지 않음</x:v>
      </x:c>
      <x:c r="W50" s="382" t="str">
        <x:v>완전 해지</x:v>
      </x:c>
      <x:c r="X50" s="382" t="str">
        <x:v>기존 상품과 중복 가능성이 있는 구독·혜택</x:v>
      </x:c>
      <x:c r="Y50" s="382" t="str">
        <x:v>보유 혜택과 별도 구독이 겹칠 가능성이 있을 때</x:v>
      </x:c>
      <x:c r="Z50" s="382"/>
    </x:row>
    <x:row r="51" ht="42" customHeight="1">
      <x:c r="A51" s="400" t="n">
        <x:v>46255.754527453704</x:v>
      </x:c>
      <x:c r="B51" s="382" t="str">
        <x:v>40대</x:v>
      </x:c>
      <x:c r="C51" s="382" t="str">
        <x:v>프리랜서·자영업</x:v>
      </x:c>
      <x:c r="D51" s="382" t="str">
        <x:v>4~6개</x:v>
      </x:c>
      <x:c r="E51" s="382" t="str">
        <x:v>OTT (예: 넷플릭스 등), 음악·전자책·콘텐츠 (예 : Melon 등), 통신사 결합상품·구독 혜택</x:v>
      </x:c>
      <x:c r="F51" s="382" t="str">
        <x:v>1~5만원</x:v>
      </x:c>
      <x:c r="G51" s="382" t="n">
        <x:v>3</x:v>
      </x:c>
      <x:c r="H51" s="382" t="str">
        <x:v>가끔 있다</x:v>
      </x:c>
      <x:c r="I51" s="382" t="str">
        <x:v>가끔 있다</x:v>
      </x:c>
      <x:c r="J51" s="382" t="n">
        <x:v>3</x:v>
      </x:c>
      <x:c r="K51" s="382"/>
      <x:c r="L51" s="382" t="str">
        <x:v>일부만 알고 있다</x:v>
      </x:c>
      <x:c r="M51" s="382" t="str">
        <x:v>결제 문자·푸시 알림</x:v>
      </x:c>
      <x:c r="N51" s="382" t="str">
        <x:v>자동 갱신일</x:v>
      </x:c>
      <x:c r="O51" s="382" t="str">
        <x:v>없다</x:v>
      </x:c>
      <x:c r="P51" s="382" t="str">
        <x:v>어떤 정보를 기록해야 할지 모르겠음</x:v>
      </x:c>
      <x:c r="Q51" s="382"/>
      <x:c r="R51" s="382" t="str">
        <x:v>1개</x:v>
      </x:c>
      <x:c r="S51" s="382" t="str">
        <x:v>한 명이 전액 부담</x:v>
      </x:c>
      <x:c r="T51" s="382" t="n">
        <x:v>5</x:v>
      </x:c>
      <x:c r="U51" s="382" t="str">
        <x:v>요금제·가격 변경 반영</x:v>
      </x:c>
      <x:c r="V51" s="382" t="str">
        <x:v>매월 총 얼마를 지출하는지 파악하기 어려움, 여러 앱·사이트를 확인해야 해서 번거로움</x:v>
      </x:c>
      <x:c r="W51" s="382" t="str">
        <x:v>완전 해지</x:v>
      </x:c>
      <x:c r="X51" s="382" t="str">
        <x:v>내가 현재 보유한 전체 혜택, 변경·해지하기 적절한 시점</x:v>
      </x:c>
      <x:c r="Y51" s="382" t="str">
        <x:v>무료체험 종료 및 자동 갱신 전, 보유 혜택과 별도 구독이 겹칠 가능성이 있을 때</x:v>
      </x:c>
      <x:c r="Z51" s="382"/>
    </x:row>
    <x:row r="52" ht="42" customHeight="1">
      <x:c r="A52" s="400" t="n">
        <x:v>46255.75673241898</x:v>
      </x:c>
      <x:c r="B52" s="382" t="str">
        <x:v>20대</x:v>
      </x:c>
      <x:c r="C52" s="382" t="str">
        <x:v>기타 (무직 포함)</x:v>
      </x:c>
      <x:c r="D52" s="382" t="str">
        <x:v>4~6개</x:v>
      </x:c>
      <x:c r="E52" s="382" t="str">
        <x:v>OTT (예: 넷플릭스 등), 배달 멤버십 (예: 배민클럽 등), 클라우드·생산성 툴 (예: icloud / notion 등)</x:v>
      </x:c>
      <x:c r="F52" s="382" t="str">
        <x:v>1~5만원</x:v>
      </x:c>
      <x:c r="G52" s="382" t="n">
        <x:v>1</x:v>
      </x:c>
      <x:c r="H52" s="382" t="str">
        <x:v>가끔 있다</x:v>
      </x:c>
      <x:c r="I52" s="382" t="str">
        <x:v>전혀 없다</x:v>
      </x:c>
      <x:c r="J52" s="382" t="n">
        <x:v>4</x:v>
      </x:c>
      <x:c r="K52" s="382"/>
      <x:c r="L52" s="382" t="str">
        <x:v>모른다</x:v>
      </x:c>
      <x:c r="M52" s="382" t="str">
        <x:v>카드·은행 앱 확인</x:v>
      </x:c>
      <x:c r="N52" s="382" t="str">
        <x:v>무료체험 종료일, 통신·인터넷 약정 종료일</x:v>
      </x:c>
      <x:c r="O52" s="382" t="str">
        <x:v>없다</x:v>
      </x:c>
      <x:c r="P52" s="382" t="str">
        <x:v>직접 입력하기 귀찮음</x:v>
      </x:c>
      <x:c r="Q52" s="382"/>
      <x:c r="R52" s="382" t="str">
        <x:v>2~3개</x:v>
      </x:c>
      <x:c r="S52" s="382" t="str">
        <x:v>한 명이 전액 부담</x:v>
      </x:c>
      <x:c r="T52" s="382" t="n">
        <x:v>3</x:v>
      </x:c>
      <x:c r="U52" s="382" t="str">
        <x:v>공유 인원 변경</x:v>
      </x:c>
      <x:c r="V52" s="382" t="str">
        <x:v>기타</x:v>
      </x:c>
      <x:c r="W52" s="382" t="str">
        <x:v>기타</x:v>
      </x:c>
      <x:c r="X52" s="382" t="str">
        <x:v>별로 필요하지 않음</x:v>
      </x:c>
      <x:c r="Y52" s="382" t="str">
        <x:v>알림이 필요하지 않음</x:v>
      </x:c>
      <x:c r="Z52" s="382"/>
    </x:row>
    <x:row r="53" ht="42" customHeight="1">
      <x:c r="A53" s="400" t="n">
        <x:v>46255.758370474534</x:v>
      </x:c>
      <x:c r="B53" s="382" t="str">
        <x:v>20대</x:v>
      </x:c>
      <x:c r="C53" s="382" t="str">
        <x:v>기타 (무직 포함)</x:v>
      </x:c>
      <x:c r="D53" s="382" t="str">
        <x:v>1~3개</x:v>
      </x:c>
      <x:c r="E53" s="382" t="str">
        <x:v>OTT (예: 넷플릭스 등), 음악·전자책·콘텐츠 (예 : Melon 등)</x:v>
      </x:c>
      <x:c r="F53" s="382" t="str">
        <x:v>잘 모르겠다</x:v>
      </x:c>
      <x:c r="G53" s="382" t="n">
        <x:v>2</x:v>
      </x:c>
      <x:c r="H53" s="382" t="str">
        <x:v>기억나지 않는다</x:v>
      </x:c>
      <x:c r="I53" s="382" t="str">
        <x:v>거의 없다</x:v>
      </x:c>
      <x:c r="J53" s="382" t="n">
        <x:v>4</x:v>
      </x:c>
      <x:c r="K53" s="382"/>
      <x:c r="L53" s="382" t="str">
        <x:v>모른다</x:v>
      </x:c>
      <x:c r="M53" s="382" t="str">
        <x:v>캘린더</x:v>
      </x:c>
      <x:c r="N53" s="382" t="str">
        <x:v>경험 없음</x:v>
      </x:c>
      <x:c r="O53" s="382" t="str">
        <x:v>있다</x:v>
      </x:c>
      <x:c r="P53" s="382"/>
      <x:c r="Q53" s="382" t="str">
        <x:v>결제일</x:v>
      </x:c>
      <x:c r="R53" s="382" t="str">
        <x:v>없음</x:v>
      </x:c>
      <x:c r="S53" s="382"/>
      <x:c r="T53" s="382"/>
      <x:c r="U53" s="382"/>
      <x:c r="V53" s="382" t="str">
        <x:v>특별히 불편하지 않음</x:v>
      </x:c>
      <x:c r="W53" s="382" t="str">
        <x:v>완전 해지</x:v>
      </x:c>
      <x:c r="X53" s="382" t="str">
        <x:v>현재 이용 중인 전체 구독·멤버십, 이번 달 총 결제 예정금액</x:v>
      </x:c>
      <x:c r="Y53" s="382" t="str">
        <x:v>무료체험 종료 및 자동 갱신 전, 혜택 사용기간 종료 전</x:v>
      </x:c>
      <x:c r="Z53" s="382"/>
    </x:row>
    <x:row r="54" ht="42" customHeight="1">
      <x:c r="A54" s="400" t="n">
        <x:v>46255.76022280093</x:v>
      </x:c>
      <x:c r="B54" s="382" t="str">
        <x:v>50대 이상</x:v>
      </x:c>
      <x:c r="C54" s="382" t="str">
        <x:v>주부</x:v>
      </x:c>
      <x:c r="D54" s="382" t="str">
        <x:v>4~6개</x:v>
      </x:c>
      <x:c r="E54" s="382" t="str">
        <x:v>OTT (예: 넷플릭스 등), 음악·전자책·콘텐츠 (예 : Melon 등), 쇼핑 멤버십 (예 : 네이버+ 멤버십 등)</x:v>
      </x:c>
      <x:c r="F54" s="382" t="str">
        <x:v>1~5만원</x:v>
      </x:c>
      <x:c r="G54" s="382" t="n">
        <x:v>2</x:v>
      </x:c>
      <x:c r="H54" s="382" t="str">
        <x:v>가끔 있다</x:v>
      </x:c>
      <x:c r="I54" s="382" t="str">
        <x:v>가끔 있다</x:v>
      </x:c>
      <x:c r="J54" s="382" t="n">
        <x:v>2</x:v>
      </x:c>
      <x:c r="K54" s="382"/>
      <x:c r="L54" s="382" t="str">
        <x:v>일부만 알고 있다</x:v>
      </x:c>
      <x:c r="M54" s="382" t="str">
        <x:v>따로 관리하지 않음</x:v>
      </x:c>
      <x:c r="N54" s="382" t="str">
        <x:v>무료체험 종료일</x:v>
      </x:c>
      <x:c r="O54" s="382" t="str">
        <x:v>없다</x:v>
      </x:c>
      <x:c r="P54" s="382" t="str">
        <x:v>직접 입력하기 귀찮음</x:v>
      </x:c>
      <x:c r="Q54" s="382"/>
      <x:c r="R54" s="382" t="str">
        <x:v>없음</x:v>
      </x:c>
      <x:c r="S54" s="382"/>
      <x:c r="T54" s="382"/>
      <x:c r="U54" s="382"/>
      <x:c r="V54" s="382" t="str">
        <x:v>기존 상품과 중복되는 구독·혜택을 확인하기 어려움</x:v>
      </x:c>
      <x:c r="W54" s="382" t="str">
        <x:v>더 저렴한 요금제로 변경</x:v>
      </x:c>
      <x:c r="X54" s="382" t="str">
        <x:v>내가 현재 보유한 전체 혜택, 변경·해지하기 적절한 시점</x:v>
      </x:c>
      <x:c r="Y54" s="382" t="str">
        <x:v>무료체험 종료 및 자동 갱신 전, 통신·인터넷 약정 종료 전</x:v>
      </x:c>
      <x:c r="Z54" s="382"/>
    </x:row>
    <x:row r="55" ht="42" customHeight="1">
      <x:c r="A55" s="400" t="n">
        <x:v>46255.76029972223</x:v>
      </x:c>
      <x:c r="B55" s="382" t="str">
        <x:v>50대 이상</x:v>
      </x:c>
      <x:c r="C55" s="382" t="str">
        <x:v>프리랜서·자영업</x:v>
      </x:c>
      <x:c r="D55" s="382" t="str">
        <x:v>4~6개</x:v>
      </x:c>
      <x:c r="E55" s="382" t="str">
        <x:v>OTT (예: 넷플릭스 등), 음악·전자책·콘텐츠 (예 : Melon 등), 쇼핑 멤버십 (예 : 네이버+ 멤버십 등), 배달 멤버십 (예: 배민클럽 등), 통신사 결합상품·구독 혜택</x:v>
      </x:c>
      <x:c r="F55" s="382" t="str">
        <x:v>5~10만원 이상</x:v>
      </x:c>
      <x:c r="G55" s="382" t="n">
        <x:v>4</x:v>
      </x:c>
      <x:c r="H55" s="382" t="str">
        <x:v>자주 있다</x:v>
      </x:c>
      <x:c r="I55" s="382" t="str">
        <x:v>가끔 있다</x:v>
      </x:c>
      <x:c r="J55" s="382" t="n">
        <x:v>4</x:v>
      </x:c>
      <x:c r="K55" s="382"/>
      <x:c r="L55" s="382" t="str">
        <x:v>일부만 알고 있다</x:v>
      </x:c>
      <x:c r="M55" s="382" t="str">
        <x:v>따로 관리하지 않음</x:v>
      </x:c>
      <x:c r="N55" s="382" t="str">
        <x:v>무료체험 종료일</x:v>
      </x:c>
      <x:c r="O55" s="382" t="str">
        <x:v>있다</x:v>
      </x:c>
      <x:c r="P55" s="382"/>
      <x:c r="Q55" s="382" t="str">
        <x:v>무료체험 종료일</x:v>
      </x:c>
      <x:c r="R55" s="382" t="str">
        <x:v>없음</x:v>
      </x:c>
      <x:c r="S55" s="382"/>
      <x:c r="T55" s="382"/>
      <x:c r="U55" s="382"/>
      <x:c r="V55" s="382" t="str">
        <x:v>결제일·갱신일을 관리하기 어려움</x:v>
      </x:c>
      <x:c r="W55" s="382" t="str">
        <x:v>완전 해지</x:v>
      </x:c>
      <x:c r="X55" s="382" t="str">
        <x:v>현재 이용 중인 전체 구독·멤버십</x:v>
      </x:c>
      <x:c r="Y55" s="382" t="str">
        <x:v>무료체험 종료 및 자동 갱신 전</x:v>
      </x:c>
      <x:c r="Z55" s="382"/>
    </x:row>
    <x:row r="56" ht="42" customHeight="1">
      <x:c r="A56" s="400" t="n">
        <x:v>46255.76073383102</x:v>
      </x:c>
      <x:c r="B56" s="382" t="str">
        <x:v>40대</x:v>
      </x:c>
      <x:c r="C56" s="382" t="str">
        <x:v>주부</x:v>
      </x:c>
      <x:c r="D56" s="382" t="str">
        <x:v>4~6개</x:v>
      </x:c>
      <x:c r="E56" s="382" t="str">
        <x:v>OTT (예: 넷플릭스 등), 생성형 AI (예: GPT 등), 음악·전자책·콘텐츠 (예 : Melon 등), 쇼핑 멤버십 (예 : 네이버+ 멤버십 등), 배달 멤버십 (예: 배민클럽 등), 통신사 결합상품·구독 혜택</x:v>
      </x:c>
      <x:c r="F56" s="382" t="str">
        <x:v>5~10만원 이상</x:v>
      </x:c>
      <x:c r="G56" s="382" t="n">
        <x:v>1</x:v>
      </x:c>
      <x:c r="H56" s="382" t="str">
        <x:v>가끔 있다</x:v>
      </x:c>
      <x:c r="I56" s="382" t="str">
        <x:v>자주있다</x:v>
      </x:c>
      <x:c r="J56" s="382" t="n">
        <x:v>5</x:v>
      </x:c>
      <x:c r="K56" s="382"/>
      <x:c r="L56" s="382" t="str">
        <x:v>모른다</x:v>
      </x:c>
      <x:c r="M56" s="382" t="str">
        <x:v>결제 문자·푸시 알림</x:v>
      </x:c>
      <x:c r="N56" s="382" t="str">
        <x:v>무료체험 종료일, 자동 갱신일, 통신·인터넷 약정 종료일</x:v>
      </x:c>
      <x:c r="O56" s="382" t="str">
        <x:v>없다</x:v>
      </x:c>
      <x:c r="P56" s="382" t="str">
        <x:v>어떤 정보를 기록해야 할지 모르겠음</x:v>
      </x:c>
      <x:c r="Q56" s="382"/>
      <x:c r="R56" s="382" t="str">
        <x:v>없음</x:v>
      </x:c>
      <x:c r="S56" s="382"/>
      <x:c r="T56" s="382"/>
      <x:c r="U56" s="382"/>
      <x:c r="V56" s="382" t="str">
        <x:v>현재 어떤 상품을 이용 중인지 한눈에 보기 어려움, 매월 총 얼마를 지출하는지 파악하기 어려움, 혜택 적용 조건이 복잡함, 결제일·갱신일을 관리하기 어려움, 기존 상품과 중복되는 구독·혜택을 확인하기 어려움, 여러 앱·사이트를 확인해야 해서 번거로움</x:v>
      </x:c>
      <x:c r="W56" s="382" t="str">
        <x:v>그냥 유지</x:v>
      </x:c>
      <x:c r="X56" s="382" t="str">
        <x:v>현재 이용 중인 전체 구독·멤버십, 이번 달 총 결제 예정금액, 내가 현재 보유한 전체 혜택</x:v>
      </x:c>
      <x:c r="Y56" s="382" t="str">
        <x:v>무료체험 종료 및 자동 갱신 전, 혜택 사용기간 종료 전, 통신·인터넷 약정 종료 전, 보유 혜택과 별도 구독이 겹칠 가능성이 있을 때</x:v>
      </x:c>
      <x:c r="Z56" s="382"/>
    </x:row>
    <x:row r="57" ht="42" customHeight="1">
      <x:c r="A57" s="400" t="n">
        <x:v>46255.762739328704</x:v>
      </x:c>
      <x:c r="B57" s="382" t="str">
        <x:v>20대</x:v>
      </x:c>
      <x:c r="C57" s="382" t="str">
        <x:v>직장인</x:v>
      </x:c>
      <x:c r="D57" s="382" t="str">
        <x:v>1~3개</x:v>
      </x:c>
      <x:c r="E57" s="382" t="str">
        <x:v>OTT (예: 넷플릭스 등), 음악·전자책·콘텐츠 (예 : Melon 등)</x:v>
      </x:c>
      <x:c r="F57" s="382" t="str">
        <x:v>1~5만원</x:v>
      </x:c>
      <x:c r="G57" s="382" t="n">
        <x:v>3</x:v>
      </x:c>
      <x:c r="H57" s="382" t="str">
        <x:v>자주 있다</x:v>
      </x:c>
      <x:c r="I57" s="382" t="str">
        <x:v>거의 없다</x:v>
      </x:c>
      <x:c r="J57" s="382" t="n">
        <x:v>5</x:v>
      </x:c>
      <x:c r="K57" s="382"/>
      <x:c r="L57" s="382" t="str">
        <x:v>일부만 알고 있다</x:v>
      </x:c>
      <x:c r="M57" s="382" t="str">
        <x:v>따로 관리하지 않음</x:v>
      </x:c>
      <x:c r="N57" s="382" t="str">
        <x:v>일시정지한 구독의 재개 시점, 통신·인터넷 약정 종료일</x:v>
      </x:c>
      <x:c r="O57" s="382" t="str">
        <x:v>없다</x:v>
      </x:c>
      <x:c r="P57" s="382" t="str">
        <x:v>직접 입력하기 귀찮음</x:v>
      </x:c>
      <x:c r="Q57" s="382"/>
      <x:c r="R57" s="382" t="str">
        <x:v>1개</x:v>
      </x:c>
      <x:c r="S57" s="382" t="str">
        <x:v>한 명이 전액 부담</x:v>
      </x:c>
      <x:c r="T57" s="382" t="n">
        <x:v>1</x:v>
      </x:c>
      <x:c r="U57" s="382" t="str">
        <x:v>정산금액 계산</x:v>
      </x:c>
      <x:c r="V57" s="382" t="str">
        <x:v>매월 총 얼마를 지출하는지 파악하기 어려움</x:v>
      </x:c>
      <x:c r="W57" s="382" t="str">
        <x:v>완전 해지</x:v>
      </x:c>
      <x:c r="X57" s="382" t="str">
        <x:v>현재 이용 중인 전체 구독·멤버십, 이번 달 총 결제 예정금액, 내가 현재 보유한 전체 혜택</x:v>
      </x:c>
      <x:c r="Y57" s="382" t="str">
        <x:v>무료체험 종료 및 자동 갱신 전</x:v>
      </x:c>
      <x:c r="Z57" s="382"/>
    </x:row>
    <x:row r="58" ht="42" customHeight="1">
      <x:c r="A58" s="400" t="n">
        <x:v>46255.766125891205</x:v>
      </x:c>
      <x:c r="B58" s="382" t="str">
        <x:v>50대 이상</x:v>
      </x:c>
      <x:c r="C58" s="382" t="str">
        <x:v>직장인</x:v>
      </x:c>
      <x:c r="D58" s="382" t="str">
        <x:v>1~3개</x:v>
      </x:c>
      <x:c r="E58" s="382" t="str">
        <x:v>OTT (예: 넷플릭스 등), 음악·전자책·콘텐츠 (예 : Melon 등), 쇼핑 멤버십 (예 : 네이버+ 멤버십 등)</x:v>
      </x:c>
      <x:c r="F58" s="382" t="str">
        <x:v>1~5만원</x:v>
      </x:c>
      <x:c r="G58" s="382" t="n">
        <x:v>4</x:v>
      </x:c>
      <x:c r="H58" s="382" t="str">
        <x:v>가끔 있다</x:v>
      </x:c>
      <x:c r="I58" s="382" t="str">
        <x:v>가끔 있다</x:v>
      </x:c>
      <x:c r="J58" s="382" t="n">
        <x:v>5</x:v>
      </x:c>
      <x:c r="K58" s="382"/>
      <x:c r="L58" s="382" t="str">
        <x:v>일부만 알고 있다</x:v>
      </x:c>
      <x:c r="M58" s="382" t="str">
        <x:v>결제 문자·푸시 알림</x:v>
      </x:c>
      <x:c r="N58" s="382" t="str">
        <x:v>무료체험 종료일, 자동 갱신일, 할인 종료일, 통신·인터넷 약정 종료일</x:v>
      </x:c>
      <x:c r="O58" s="382" t="str">
        <x:v>없다</x:v>
      </x:c>
      <x:c r="P58" s="382" t="str">
        <x:v>어떤 정보를 기록해야 할지 모르겠음</x:v>
      </x:c>
      <x:c r="Q58" s="382"/>
      <x:c r="R58" s="382" t="str">
        <x:v>2~3개</x:v>
      </x:c>
      <x:c r="S58" s="382" t="str">
        <x:v>한 명이 전액 부담</x:v>
      </x:c>
      <x:c r="T58" s="382" t="n">
        <x:v>3</x:v>
      </x:c>
      <x:c r="U58" s="382" t="str">
        <x:v>공유 인원 변경</x:v>
      </x:c>
      <x:c r="V58" s="382" t="str">
        <x:v>기타</x:v>
      </x:c>
      <x:c r="W58" s="382" t="str">
        <x:v>완전 해지</x:v>
      </x:c>
      <x:c r="X58" s="382" t="str">
        <x:v>더 유리한 이용방법, 변경·해지하기 적절한 시점</x:v>
      </x:c>
      <x:c r="Y58" s="382" t="str">
        <x:v>무료체험 종료 및 자동 갱신 전, 통신·인터넷 약정 종료 전, 보유 혜택과 별도 구독이 겹칠 가능성이 있을 때</x:v>
      </x:c>
      <x:c r="Z58" s="382"/>
    </x:row>
    <x:row r="59" ht="42" customHeight="1">
      <x:c r="A59" s="400" t="n">
        <x:v>46255.76776766204</x:v>
      </x:c>
      <x:c r="B59" s="382" t="str">
        <x:v>50대 이상</x:v>
      </x:c>
      <x:c r="C59" s="382" t="str">
        <x:v>기타 (무직 포함)</x:v>
      </x:c>
      <x:c r="D59" s="382" t="str">
        <x:v>4~6개</x:v>
      </x:c>
      <x:c r="E59" s="382" t="str">
        <x:v>OTT (예: 넷플릭스 등), 쇼핑 멤버십 (예 : 네이버+ 멤버십 등), 통신사 결합상품·구독 혜택</x:v>
      </x:c>
      <x:c r="F59" s="382" t="str">
        <x:v>5~10만원 이상</x:v>
      </x:c>
      <x:c r="G59" s="382" t="n">
        <x:v>3</x:v>
      </x:c>
      <x:c r="H59" s="382" t="str">
        <x:v>가끔 있다</x:v>
      </x:c>
      <x:c r="I59" s="382" t="str">
        <x:v>가끔 있다</x:v>
      </x:c>
      <x:c r="J59" s="382" t="n">
        <x:v>5</x:v>
      </x:c>
      <x:c r="K59" s="382"/>
      <x:c r="L59" s="382" t="str">
        <x:v>정확히 알고 있다</x:v>
      </x:c>
      <x:c r="M59" s="382" t="str">
        <x:v>메모·노션·엑셀</x:v>
      </x:c>
      <x:c r="N59" s="382" t="str">
        <x:v>통신·인터넷 약정 종료일</x:v>
      </x:c>
      <x:c r="O59" s="382" t="str">
        <x:v>있다</x:v>
      </x:c>
      <x:c r="P59" s="382"/>
      <x:c r="Q59" s="382" t="str">
        <x:v>무료체험 종료일</x:v>
      </x:c>
      <x:c r="R59" s="382" t="str">
        <x:v>1개</x:v>
      </x:c>
      <x:c r="S59" s="382" t="str">
        <x:v>한 명이 전액 부담</x:v>
      </x:c>
      <x:c r="T59" s="382" t="n">
        <x:v>3</x:v>
      </x:c>
      <x:c r="U59" s="382" t="str">
        <x:v>공유 인원 변경</x:v>
      </x:c>
      <x:c r="V59" s="382" t="str">
        <x:v>기존 상품과 중복되는 구독·혜택을 확인하기 어려움</x:v>
      </x:c>
      <x:c r="W59" s="382" t="str">
        <x:v>완전 해지</x:v>
      </x:c>
      <x:c r="X59" s="382" t="str">
        <x:v>내가 현재 보유한 전체 혜택, 기존 상품과 중복 가능성이 있는 구독·혜택, 더 유리한 이용방법, 변경·해지하기 적절한 시점</x:v>
      </x:c>
      <x:c r="Y59" s="382" t="str">
        <x:v>보유 혜택과 별도 구독이 겹칠 가능성이 있을 때</x:v>
      </x:c>
      <x:c r="Z59" s="382"/>
    </x:row>
    <x:row r="60" ht="42" customHeight="1">
      <x:c r="A60" s="400" t="n">
        <x:v>46255.77017440972</x:v>
      </x:c>
      <x:c r="B60" s="382" t="str">
        <x:v>20대</x:v>
      </x:c>
      <x:c r="C60" s="382" t="str">
        <x:v>학생</x:v>
      </x:c>
      <x:c r="D60" s="382" t="str">
        <x:v>1~3개</x:v>
      </x:c>
      <x:c r="E60" s="382" t="str">
        <x:v>음악·전자책·콘텐츠 (예 : Melon 등), 클라우드·생산성 툴 (예: icloud / notion 등)</x:v>
      </x:c>
      <x:c r="F60" s="382" t="str">
        <x:v>1~5만원</x:v>
      </x:c>
      <x:c r="G60" s="382" t="n">
        <x:v>2</x:v>
      </x:c>
      <x:c r="H60" s="382" t="str">
        <x:v>가끔 있다</x:v>
      </x:c>
      <x:c r="I60" s="382" t="str">
        <x:v>가끔 있다</x:v>
      </x:c>
      <x:c r="J60" s="382" t="n">
        <x:v>4</x:v>
      </x:c>
      <x:c r="K60" s="382"/>
      <x:c r="L60" s="382" t="str">
        <x:v>일부만 알고 있다</x:v>
      </x:c>
      <x:c r="M60" s="382" t="str">
        <x:v>따로 관리하지 않음, 기억에 의존, 결제 문자·푸시 알림</x:v>
      </x:c>
      <x:c r="N60" s="382" t="str">
        <x:v>무료체험 종료일, 자동 갱신일, 할인 종료일</x:v>
      </x:c>
      <x:c r="O60" s="382" t="str">
        <x:v>있다</x:v>
      </x:c>
      <x:c r="P60" s="382"/>
      <x:c r="Q60" s="382" t="str">
        <x:v>결제일</x:v>
      </x:c>
      <x:c r="R60" s="382" t="str">
        <x:v>없음</x:v>
      </x:c>
      <x:c r="S60" s="382"/>
      <x:c r="T60" s="382"/>
      <x:c r="U60" s="382"/>
      <x:c r="V60" s="382" t="str">
        <x:v>현재 어떤 상품을 이용 중인지 한눈에 보기 어려움, 매월 총 얼마를 지출하는지 파악하기 어려움, 여러 앱·사이트를 확인해야 해서 번거로움</x:v>
      </x:c>
      <x:c r="W60" s="382" t="str">
        <x:v>완전 해지</x:v>
      </x:c>
      <x:c r="X60" s="382" t="str">
        <x:v>현재 이용 중인 전체 구독·멤버십, 이번 달 총 결제 예정금액, 내가 현재 보유한 전체 혜택, 기존 상품과 중복 가능성이 있는 구독·혜택</x:v>
      </x:c>
      <x:c r="Y60" s="382" t="str">
        <x:v>무료체험 종료 및 자동 갱신 전, 혜택 사용기간 종료 전, 보유 혜택과 별도 구독이 겹칠 가능성이 있을 때</x:v>
      </x:c>
      <x:c r="Z60" s="382"/>
    </x:row>
    <x:row r="61" ht="42" customHeight="1">
      <x:c r="A61" s="400" t="n">
        <x:v>46255.77831275463</x:v>
      </x:c>
      <x:c r="B61" s="382" t="str">
        <x:v>30대</x:v>
      </x:c>
      <x:c r="C61" s="382" t="str">
        <x:v>직장인</x:v>
      </x:c>
      <x:c r="D61" s="382" t="str">
        <x:v>4~6개</x:v>
      </x:c>
      <x:c r="E61" s="382" t="str">
        <x:v>OTT (예: 넷플릭스 등), 음악·전자책·콘텐츠 (예 : Melon 등), 배달 멤버십 (예: 배민클럽 등), 클라우드·생산성 툴 (예: icloud / notion 등)</x:v>
      </x:c>
      <x:c r="F61" s="382" t="str">
        <x:v>1~5만원</x:v>
      </x:c>
      <x:c r="G61" s="382" t="n">
        <x:v>5</x:v>
      </x:c>
      <x:c r="H61" s="382" t="str">
        <x:v>없다</x:v>
      </x:c>
      <x:c r="I61" s="382" t="str">
        <x:v>가끔 있다</x:v>
      </x:c>
      <x:c r="J61" s="382" t="n">
        <x:v>1</x:v>
      </x:c>
      <x:c r="K61" s="382"/>
      <x:c r="L61" s="382" t="str">
        <x:v>정확히 알고 있다</x:v>
      </x:c>
      <x:c r="M61" s="382" t="str">
        <x:v>결제 문자·푸시 알림, 각 서비스 앱 확인</x:v>
      </x:c>
      <x:c r="N61" s="382" t="str">
        <x:v>경험 없음</x:v>
      </x:c>
      <x:c r="O61" s="382" t="str">
        <x:v>없다</x:v>
      </x:c>
      <x:c r="P61" s="382" t="str">
        <x:v>필요성을 못 느낌</x:v>
      </x:c>
      <x:c r="Q61" s="382"/>
      <x:c r="R61" s="382" t="str">
        <x:v>없음</x:v>
      </x:c>
      <x:c r="S61" s="382"/>
      <x:c r="T61" s="382"/>
      <x:c r="U61" s="382"/>
      <x:c r="V61" s="382" t="str">
        <x:v>특별히 불편하지 않음</x:v>
      </x:c>
      <x:c r="W61" s="382" t="str">
        <x:v>완전 해지</x:v>
      </x:c>
      <x:c r="X61" s="382" t="str">
        <x:v>별로 필요하지 않음</x:v>
      </x:c>
      <x:c r="Y61" s="382" t="str">
        <x:v>알림이 필요하지 않음</x:v>
      </x:c>
      <x:c r="Z61" s="382"/>
    </x:row>
    <x:row r="62" ht="42" customHeight="1">
      <x:c r="A62" s="400" t="n">
        <x:v>46255.78513398148</x:v>
      </x:c>
      <x:c r="B62" s="382" t="str">
        <x:v>50대 이상</x:v>
      </x:c>
      <x:c r="C62" s="382" t="str">
        <x:v>프리랜서·자영업</x:v>
      </x:c>
      <x:c r="D62" s="382" t="str">
        <x:v>4~6개</x:v>
      </x:c>
      <x:c r="E62" s="382" t="str">
        <x:v>OTT (예: 넷플릭스 등), 생성형 AI (예: GPT 등), 음악·전자책·콘텐츠 (예 : Melon 등), 쇼핑 멤버십 (예 : 네이버+ 멤버십 등)</x:v>
      </x:c>
      <x:c r="F62" s="382" t="str">
        <x:v>5~10만원 이상</x:v>
      </x:c>
      <x:c r="G62" s="382" t="n">
        <x:v>3</x:v>
      </x:c>
      <x:c r="H62" s="382" t="str">
        <x:v>가끔 있다</x:v>
      </x:c>
      <x:c r="I62" s="382" t="str">
        <x:v>가끔 있다</x:v>
      </x:c>
      <x:c r="J62" s="382" t="n">
        <x:v>5</x:v>
      </x:c>
      <x:c r="K62" s="382"/>
      <x:c r="L62" s="382" t="str">
        <x:v>일부만 알고 있다</x:v>
      </x:c>
      <x:c r="M62" s="382" t="str">
        <x:v>캘린더</x:v>
      </x:c>
      <x:c r="N62" s="382" t="str">
        <x:v>할인 종료일</x:v>
      </x:c>
      <x:c r="O62" s="382" t="str">
        <x:v>있다</x:v>
      </x:c>
      <x:c r="P62" s="382"/>
      <x:c r="Q62" s="382" t="str">
        <x:v>갱신일</x:v>
      </x:c>
      <x:c r="R62" s="382" t="str">
        <x:v>2~3개</x:v>
      </x:c>
      <x:c r="S62" s="382" t="str">
        <x:v>한 명이 전액 부담</x:v>
      </x:c>
      <x:c r="T62" s="382" t="n">
        <x:v>1</x:v>
      </x:c>
      <x:c r="U62" s="382" t="str">
        <x:v>요금제·가격 변경 반영</x:v>
      </x:c>
      <x:c r="V62" s="382" t="str">
        <x:v>혜택 적용 조건이 복잡함</x:v>
      </x:c>
      <x:c r="W62" s="382" t="str">
        <x:v>완전 해지</x:v>
      </x:c>
      <x:c r="X62" s="382" t="str">
        <x:v>변경·해지하기 적절한 시점</x:v>
      </x:c>
      <x:c r="Y62" s="382" t="str">
        <x:v>보유 혜택과 별도 구독이 겹칠 가능성이 있을 때</x:v>
      </x:c>
      <x:c r="Z62" s="382"/>
    </x:row>
    <x:row r="63" ht="42" customHeight="1">
      <x:c r="A63" s="400" t="n">
        <x:v>46255.78828091435</x:v>
      </x:c>
      <x:c r="B63" s="382" t="str">
        <x:v>30대</x:v>
      </x:c>
      <x:c r="C63" s="382" t="str">
        <x:v>프리랜서·자영업</x:v>
      </x:c>
      <x:c r="D63" s="382" t="str">
        <x:v>1~3개</x:v>
      </x:c>
      <x:c r="E63" s="382" t="str">
        <x:v>생성형 AI (예: GPT 등), 배달 멤버십 (예: 배민클럽 등), 유튜브</x:v>
      </x:c>
      <x:c r="F63" s="382" t="str">
        <x:v>1~5만원</x:v>
      </x:c>
      <x:c r="G63" s="382" t="n">
        <x:v>5</x:v>
      </x:c>
      <x:c r="H63" s="382" t="str">
        <x:v>없다</x:v>
      </x:c>
      <x:c r="I63" s="382" t="str">
        <x:v>가끔 있다</x:v>
      </x:c>
      <x:c r="J63" s="382" t="n">
        <x:v>1</x:v>
      </x:c>
      <x:c r="K63" s="382"/>
      <x:c r="L63" s="382" t="str">
        <x:v>정확히 알고 있다</x:v>
      </x:c>
      <x:c r="M63" s="382" t="str">
        <x:v>결제 문자·푸시 알림</x:v>
      </x:c>
      <x:c r="N63" s="382" t="str">
        <x:v>무료체험 종료일, 자동 갱신일</x:v>
      </x:c>
      <x:c r="O63" s="382" t="str">
        <x:v>없다</x:v>
      </x:c>
      <x:c r="P63" s="382" t="str">
        <x:v>필요성을 못 느낌</x:v>
      </x:c>
      <x:c r="Q63" s="382"/>
      <x:c r="R63" s="382" t="str">
        <x:v>없음</x:v>
      </x:c>
      <x:c r="S63" s="382"/>
      <x:c r="T63" s="382"/>
      <x:c r="U63" s="382"/>
      <x:c r="V63" s="382" t="str">
        <x:v>현재 어떤 상품을 이용 중인지 한눈에 보기 어려움, 매월 총 얼마를 지출하는지 파악하기 어려움</x:v>
      </x:c>
      <x:c r="W63" s="382" t="str">
        <x:v>완전 해지</x:v>
      </x:c>
      <x:c r="X63" s="382" t="str">
        <x:v>현재 이용 중인 전체 구독·멤버십, 이번 달 총 결제 예정금액, 더 유리한 이용방법</x:v>
      </x:c>
      <x:c r="Y63" s="382" t="str">
        <x:v>무료체험 종료 및 자동 갱신 전</x:v>
      </x:c>
      <x:c r="Z63" s="382"/>
    </x:row>
    <x:row r="64" ht="42" customHeight="1">
      <x:c r="A64" s="400" t="n">
        <x:v>46255.78889846065</x:v>
      </x:c>
      <x:c r="B64" s="382" t="str">
        <x:v>30대</x:v>
      </x:c>
      <x:c r="C64" s="382" t="str">
        <x:v>직장인</x:v>
      </x:c>
      <x:c r="D64" s="382" t="str">
        <x:v>1~3개</x:v>
      </x:c>
      <x:c r="E64" s="382" t="str">
        <x:v>OTT (예: 넷플릭스 등)</x:v>
      </x:c>
      <x:c r="F64" s="382" t="str">
        <x:v>1~5만원</x:v>
      </x:c>
      <x:c r="G64" s="382" t="n">
        <x:v>1</x:v>
      </x:c>
      <x:c r="H64" s="382" t="str">
        <x:v>기억나지 않는다</x:v>
      </x:c>
      <x:c r="I64" s="382" t="str">
        <x:v>전혀 없다</x:v>
      </x:c>
      <x:c r="J64" s="382" t="n">
        <x:v>5</x:v>
      </x:c>
      <x:c r="K64" s="382"/>
      <x:c r="L64" s="382" t="str">
        <x:v>모른다</x:v>
      </x:c>
      <x:c r="M64" s="382" t="str">
        <x:v>따로 관리하지 않음</x:v>
      </x:c>
      <x:c r="N64" s="382" t="str">
        <x:v>자동 갱신일, 가격 인상 적용일</x:v>
      </x:c>
      <x:c r="O64" s="382" t="str">
        <x:v>없다</x:v>
      </x:c>
      <x:c r="P64" s="382" t="str">
        <x:v>직접 입력하기 귀찮음</x:v>
      </x:c>
      <x:c r="Q64" s="382"/>
      <x:c r="R64" s="382" t="str">
        <x:v>없음</x:v>
      </x:c>
      <x:c r="S64" s="382"/>
      <x:c r="T64" s="382"/>
      <x:c r="U64" s="382"/>
      <x:c r="V64" s="382" t="str">
        <x:v>현재 어떤 상품을 이용 중인지 한눈에 보기 어려움, 매월 총 얼마를 지출하는지 파악하기 어려움</x:v>
      </x:c>
      <x:c r="W64" s="382" t="str">
        <x:v>완전 해지</x:v>
      </x:c>
      <x:c r="X64" s="382" t="str">
        <x:v>더 유리한 이용방법</x:v>
      </x:c>
      <x:c r="Y64" s="382" t="str">
        <x:v>무료체험 종료 및 자동 갱신 전</x:v>
      </x:c>
      <x:c r="Z64" s="382"/>
    </x:row>
    <x:row r="65" ht="42" customHeight="1">
      <x:c r="A65" s="400" t="n">
        <x:v>46255.79147081019</x:v>
      </x:c>
      <x:c r="B65" s="382" t="str">
        <x:v>20대</x:v>
      </x:c>
      <x:c r="C65" s="382" t="str">
        <x:v>기타 (무직 포함)</x:v>
      </x:c>
      <x:c r="D65" s="382" t="str">
        <x:v>1~3개</x:v>
      </x:c>
      <x:c r="E65" s="382" t="str">
        <x:v>생성형 AI (예: GPT 등), 쇼핑 멤버십 (예 : 네이버+ 멤버십 등)</x:v>
      </x:c>
      <x:c r="F65" s="382" t="str">
        <x:v>1~5만원</x:v>
      </x:c>
      <x:c r="G65" s="382" t="n">
        <x:v>4</x:v>
      </x:c>
      <x:c r="H65" s="382" t="str">
        <x:v>자주 있다</x:v>
      </x:c>
      <x:c r="I65" s="382" t="str">
        <x:v>자주있다</x:v>
      </x:c>
      <x:c r="J65" s="382" t="n">
        <x:v>5</x:v>
      </x:c>
      <x:c r="K65" s="382"/>
      <x:c r="L65" s="382" t="str">
        <x:v>정확히 알고 있다</x:v>
      </x:c>
      <x:c r="M65" s="382" t="str">
        <x:v>캘린더, 메모·노션·엑셀, 아이폰 미리알림(반복 설정해놓음)</x:v>
      </x:c>
      <x:c r="N65" s="382" t="str">
        <x:v>자동 갱신일</x:v>
      </x:c>
      <x:c r="O65" s="382" t="str">
        <x:v>있다</x:v>
      </x:c>
      <x:c r="P65" s="382"/>
      <x:c r="Q65" s="382" t="str">
        <x:v>결제일</x:v>
      </x:c>
      <x:c r="R65" s="382" t="str">
        <x:v>1개</x:v>
      </x:c>
      <x:c r="S65" s="382" t="str">
        <x:v>매월 1/n로 나누어 송금</x:v>
      </x:c>
      <x:c r="T65" s="382" t="n">
        <x:v>3</x:v>
      </x:c>
      <x:c r="U65" s="382" t="str">
        <x:v>공유 인원 변경</x:v>
      </x:c>
      <x:c r="V65" s="382" t="str">
        <x:v>결제일·갱신일을 관리하기 어려움, 여러 앱·사이트를 확인해야 해서 번거로움</x:v>
      </x:c>
      <x:c r="W65" s="382" t="str">
        <x:v>완전 해지</x:v>
      </x:c>
      <x:c r="X65" s="382" t="str">
        <x:v>현재 이용 중인 전체 구독·멤버십, 내가 현재 보유한 전체 혜택, 기존 상품과 중복 가능성이 있는 구독·혜택, 더 유리한 이용방법, 변경·해지하기 적절한 시점</x:v>
      </x:c>
      <x:c r="Y65" s="382" t="str">
        <x:v>무료체험 종료 및 자동 갱신 전, 가격 인상 적용 전</x:v>
      </x:c>
      <x:c r="Z65" s="382" t="str">
        <x:v>피클플러스 앱을 이용하고 있어서 편한데 문제는 매달 결제일에 알림 기능이 없어요..</x:v>
      </x:c>
    </x:row>
    <x:row r="66" ht="42" customHeight="1">
      <x:c r="A66" s="400" t="n">
        <x:v>46255.79170282408</x:v>
      </x:c>
      <x:c r="B66" s="382" t="str">
        <x:v>40대</x:v>
      </x:c>
      <x:c r="C66" s="382" t="str">
        <x:v>프리랜서·자영업</x:v>
      </x:c>
      <x:c r="D66" s="382" t="str">
        <x:v>잘 모르겠다</x:v>
      </x:c>
      <x:c r="E66" s="382" t="str">
        <x:v>OTT (예: 넷플릭스 등), 음악·전자책·콘텐츠 (예 : Melon 등), 쇼핑 멤버십 (예 : 네이버+ 멤버십 등)</x:v>
      </x:c>
      <x:c r="F66" s="382" t="str">
        <x:v>1~5만원</x:v>
      </x:c>
      <x:c r="G66" s="382" t="n">
        <x:v>3</x:v>
      </x:c>
      <x:c r="H66" s="382" t="str">
        <x:v>자주 있다</x:v>
      </x:c>
      <x:c r="I66" s="382" t="str">
        <x:v>가끔 있다</x:v>
      </x:c>
      <x:c r="J66" s="382" t="n">
        <x:v>5</x:v>
      </x:c>
      <x:c r="K66" s="382"/>
      <x:c r="L66" s="382" t="str">
        <x:v>일부만 알고 있다</x:v>
      </x:c>
      <x:c r="M66" s="382" t="str">
        <x:v>기억에 의존, 결제 문자·푸시 알림, 각 서비스 앱 확인</x:v>
      </x:c>
      <x:c r="N66" s="382" t="str">
        <x:v>통신·인터넷 약정 종료일</x:v>
      </x:c>
      <x:c r="O66" s="382" t="str">
        <x:v>없다</x:v>
      </x:c>
      <x:c r="P66" s="382" t="str">
        <x:v>직접 입력하기 귀찮음</x:v>
      </x:c>
      <x:c r="Q66" s="382"/>
      <x:c r="R66" s="382" t="str">
        <x:v>2~3개</x:v>
      </x:c>
      <x:c r="S66" s="382" t="str">
        <x:v>한 명이 전액 부담</x:v>
      </x:c>
      <x:c r="T66" s="382" t="n">
        <x:v>1</x:v>
      </x:c>
      <x:c r="U66" s="382" t="str">
        <x:v>공유 인원 변경</x:v>
      </x:c>
      <x:c r="V66" s="382" t="str">
        <x:v>매월 총 얼마를 지출하는지 파악하기 어려움, 혜택 적용 조건이 복잡함</x:v>
      </x:c>
      <x:c r="W66" s="382" t="str">
        <x:v>완전 해지</x:v>
      </x:c>
      <x:c r="X66" s="382" t="str">
        <x:v>현재 이용 중인 전체 구독·멤버십, 내가 현재 보유한 전체 혜택</x:v>
      </x:c>
      <x:c r="Y66" s="382" t="str">
        <x:v>무료체험 종료 및 자동 갱신 전, 혜택 사용기간 종료 전</x:v>
      </x:c>
      <x:c r="Z66" s="382"/>
    </x:row>
    <x:row r="67" ht="42" customHeight="1">
      <x:c r="A67" s="400" t="n">
        <x:v>46255.792368888884</x:v>
      </x:c>
      <x:c r="B67" s="382" t="str">
        <x:v>30대</x:v>
      </x:c>
      <x:c r="C67" s="382" t="str">
        <x:v>기타 (무직 포함)</x:v>
      </x:c>
      <x:c r="D67" s="382" t="str">
        <x:v>4~6개</x:v>
      </x:c>
      <x:c r="E67" s="382" t="str">
        <x:v>OTT (예: 넷플릭스 등), 생성형 AI (예: GPT 등), 음악·전자책·콘텐츠 (예 : Melon 등), 쇼핑 멤버십 (예 : 네이버+ 멤버십 등), 배달 멤버십 (예: 배민클럽 등), 클라우드·생산성 툴 (예: icloud / notion 등), 통신사 결합상품·구독 혜택</x:v>
      </x:c>
      <x:c r="F67" s="382" t="str">
        <x:v>5~10만원 이상</x:v>
      </x:c>
      <x:c r="G67" s="382" t="n">
        <x:v>3</x:v>
      </x:c>
      <x:c r="H67" s="382" t="str">
        <x:v>가끔 있다</x:v>
      </x:c>
      <x:c r="I67" s="382" t="str">
        <x:v>자주있다</x:v>
      </x:c>
      <x:c r="J67" s="382" t="n">
        <x:v>4</x:v>
      </x:c>
      <x:c r="K67" s="382"/>
      <x:c r="L67" s="382" t="str">
        <x:v>일부만 알고 있다</x:v>
      </x:c>
      <x:c r="M67" s="382" t="str">
        <x:v>따로 관리하지 않음</x:v>
      </x:c>
      <x:c r="N67" s="382" t="str">
        <x:v>무료체험 종료일, 자동 갱신일</x:v>
      </x:c>
      <x:c r="O67" s="382" t="str">
        <x:v>없다</x:v>
      </x:c>
      <x:c r="P67" s="382" t="str">
        <x:v>직접 입력하기 귀찮음</x:v>
      </x:c>
      <x:c r="Q67" s="382"/>
      <x:c r="R67" s="382" t="str">
        <x:v>2~3개</x:v>
      </x:c>
      <x:c r="S67" s="382" t="str">
        <x:v>한 명이 전액 부담</x:v>
      </x:c>
      <x:c r="T67" s="382" t="n">
        <x:v>1</x:v>
      </x:c>
      <x:c r="U67" s="382" t="str">
        <x:v>요금제·가격 변경 반영</x:v>
      </x:c>
      <x:c r="V67" s="382" t="str">
        <x:v>현재 어떤 상품을 이용 중인지 한눈에 보기 어려움, 매월 총 얼마를 지출하는지 파악하기 어려움, 혜택 적용 조건이 복잡함, 기존 상품과 중복되는 구독·혜택을 확인하기 어려움, 여러 앱·사이트를 확인해야 해서 번거로움</x:v>
      </x:c>
      <x:c r="W67" s="382" t="str">
        <x:v>완전 해지</x:v>
      </x:c>
      <x:c r="X67" s="382" t="str">
        <x:v>현재 이용 중인 전체 구독·멤버십, 이번 달 총 결제 예정금액, 내가 현재 보유한 전체 혜택, 더 유리한 이용방법</x:v>
      </x:c>
      <x:c r="Y67" s="382" t="str">
        <x:v>무료체험 종료 및 자동 갱신 전, 혜택 사용기간 종료 전, 통신·인터넷 약정 종료 전, 가격 인상 적용 전</x:v>
      </x:c>
      <x:c r="Z67" s="382"/>
    </x:row>
    <x:row r="68" ht="42" customHeight="1">
      <x:c r="A68" s="400" t="n">
        <x:v>46255.7976612037</x:v>
      </x:c>
      <x:c r="B68" s="382" t="str">
        <x:v>40대</x:v>
      </x:c>
      <x:c r="C68" s="382" t="str">
        <x:v>프리랜서·자영업</x:v>
      </x:c>
      <x:c r="D68" s="382" t="str">
        <x:v>4~6개</x:v>
      </x:c>
      <x:c r="E68" s="382" t="str">
        <x:v>OTT (예: 넷플릭스 등), 생성형 AI (예: GPT 등), 쇼핑 멤버십 (예 : 네이버+ 멤버십 등), 배달 멤버십 (예: 배민클럽 등), 통신사 결합상품·구독 혜택</x:v>
      </x:c>
      <x:c r="F68" s="382" t="str">
        <x:v>1~5만원</x:v>
      </x:c>
      <x:c r="G68" s="382" t="n">
        <x:v>3</x:v>
      </x:c>
      <x:c r="H68" s="382" t="str">
        <x:v>자주 있다</x:v>
      </x:c>
      <x:c r="I68" s="382" t="str">
        <x:v>거의 없다</x:v>
      </x:c>
      <x:c r="J68" s="382" t="n">
        <x:v>5</x:v>
      </x:c>
      <x:c r="K68" s="382"/>
      <x:c r="L68" s="382" t="str">
        <x:v>모른다</x:v>
      </x:c>
      <x:c r="M68" s="382" t="str">
        <x:v>따로 관리하지 않음</x:v>
      </x:c>
      <x:c r="N68" s="382" t="str">
        <x:v>무료체험 종료일, 자동 갱신일, 가격 인상 적용일, 할인 종료일, 통신·인터넷 약정 종료일</x:v>
      </x:c>
      <x:c r="O68" s="382" t="str">
        <x:v>없다</x:v>
      </x:c>
      <x:c r="P68" s="382" t="str">
        <x:v>직접 입력하기 귀찮음</x:v>
      </x:c>
      <x:c r="Q68" s="382"/>
      <x:c r="R68" s="382" t="str">
        <x:v>2~3개</x:v>
      </x:c>
      <x:c r="S68" s="382" t="str">
        <x:v>한 명이 전액 부담</x:v>
      </x:c>
      <x:c r="T68" s="382" t="n">
        <x:v>3</x:v>
      </x:c>
      <x:c r="U68" s="382" t="str">
        <x:v>정산 시점 기억</x:v>
      </x:c>
      <x:c r="V68" s="382" t="str">
        <x:v>현재 어떤 상품을 이용 중인지 한눈에 보기 어려움</x:v>
      </x:c>
      <x:c r="W68" s="382" t="str">
        <x:v>완전 해지</x:v>
      </x:c>
      <x:c r="X68" s="382" t="str">
        <x:v>현재 이용 중인 전체 구독·멤버십, 이번 달 총 결제 예정금액, 내가 현재 보유한 전체 혜택, 더 유리한 이용방법</x:v>
      </x:c>
      <x:c r="Y68" s="382" t="str">
        <x:v>무료체험 종료 및 자동 갱신 전, 가격 인상 적용 전</x:v>
      </x:c>
      <x:c r="Z68" s="382"/>
    </x:row>
    <x:row r="69" ht="42" customHeight="1">
      <x:c r="A69" s="400" t="n">
        <x:v>46255.80435128472</x:v>
      </x:c>
      <x:c r="B69" s="382" t="str">
        <x:v>50대 이상</x:v>
      </x:c>
      <x:c r="C69" s="382" t="str">
        <x:v>주부</x:v>
      </x:c>
      <x:c r="D69" s="382" t="str">
        <x:v>4~6개</x:v>
      </x:c>
      <x:c r="E69" s="382" t="str">
        <x:v>OTT (예: 넷플릭스 등), 음악·전자책·콘텐츠 (예 : Melon 등), 쇼핑 멤버십 (예 : 네이버+ 멤버십 등), 배달 멤버십 (예: 배민클럽 등), 클라우드·생산성 툴 (예: icloud / notion 등), 통신사 결합상품·구독 혜택</x:v>
      </x:c>
      <x:c r="F69" s="382" t="str">
        <x:v>1~5만원</x:v>
      </x:c>
      <x:c r="G69" s="382" t="n">
        <x:v>2</x:v>
      </x:c>
      <x:c r="H69" s="382" t="str">
        <x:v>기억나지 않는다</x:v>
      </x:c>
      <x:c r="I69" s="382" t="str">
        <x:v>거의 없다</x:v>
      </x:c>
      <x:c r="J69" s="382" t="n">
        <x:v>5</x:v>
      </x:c>
      <x:c r="K69" s="382"/>
      <x:c r="L69" s="382" t="str">
        <x:v>일부만 알고 있다</x:v>
      </x:c>
      <x:c r="M69" s="382" t="str">
        <x:v>결제 문자·푸시 알림</x:v>
      </x:c>
      <x:c r="N69" s="382" t="str">
        <x:v>무료체험 종료일, 통신·인터넷 약정 종료일</x:v>
      </x:c>
      <x:c r="O69" s="382" t="str">
        <x:v>있다</x:v>
      </x:c>
      <x:c r="P69" s="382"/>
      <x:c r="Q69" s="382" t="str">
        <x:v>무료체험 종료일</x:v>
      </x:c>
      <x:c r="R69" s="382" t="str">
        <x:v>2~3개</x:v>
      </x:c>
      <x:c r="S69" s="382" t="str">
        <x:v>한 명이 전액 부담</x:v>
      </x:c>
      <x:c r="T69" s="382" t="n">
        <x:v>1</x:v>
      </x:c>
      <x:c r="U69" s="382" t="str">
        <x:v>다시 로그인시</x:v>
      </x:c>
      <x:c r="V69" s="382" t="str">
        <x:v>현재 어떤 상품을 이용 중인지 한눈에 보기 어려움, 매월 총 얼마를 지출하는지 파악하기 어려움, 혜택 적용 조건이 복잡함, 결제일·갱신일을 관리하기 어려움, 기존 상품과 중복되는 구독·혜택을 확인하기 어려움</x:v>
      </x:c>
      <x:c r="W69" s="382" t="str">
        <x:v>더 저렴한 요금제로 변경</x:v>
      </x:c>
      <x:c r="X69" s="382" t="str">
        <x:v>현재 이용 중인 전체 구독·멤버십, 이번 달 총 결제 예정금액, 내가 현재 보유한 전체 혜택, 기존 상품과 중복 가능성이 있는 구독·혜택, 더 유리한 이용방법, 변경·해지하기 적절한 시점</x:v>
      </x:c>
      <x:c r="Y69" s="382" t="str">
        <x:v>무료체험 종료 및 자동 갱신 전, 혜택 사용기간 종료 전, 통신·인터넷 약정 종료 전, 가격 인상 적용 전, 보유 혜택과 별도 구독이 겹칠 가능성이 있을 때</x:v>
      </x:c>
      <x:c r="Z69" s="382"/>
    </x:row>
    <x:row r="70" ht="42" customHeight="1">
      <x:c r="A70" s="400" t="n">
        <x:v>46255.8076394213</x:v>
      </x:c>
      <x:c r="B70" s="382" t="str">
        <x:v>40대</x:v>
      </x:c>
      <x:c r="C70" s="382" t="str">
        <x:v>주부</x:v>
      </x:c>
      <x:c r="D70" s="382" t="str">
        <x:v>1~3개</x:v>
      </x:c>
      <x:c r="E70" s="382" t="str">
        <x:v>OTT (예: 넷플릭스 등), 쇼핑 멤버십 (예 : 네이버+ 멤버십 등), 배달 멤버십 (예: 배민클럽 등)</x:v>
      </x:c>
      <x:c r="F70" s="382" t="str">
        <x:v>1~5만원</x:v>
      </x:c>
      <x:c r="G70" s="382" t="n">
        <x:v>4</x:v>
      </x:c>
      <x:c r="H70" s="382" t="str">
        <x:v>가끔 있다</x:v>
      </x:c>
      <x:c r="I70" s="382" t="str">
        <x:v>자주있다</x:v>
      </x:c>
      <x:c r="J70" s="382" t="n">
        <x:v>1</x:v>
      </x:c>
      <x:c r="K70" s="382"/>
      <x:c r="L70" s="382" t="str">
        <x:v>일부만 알고 있다</x:v>
      </x:c>
      <x:c r="M70" s="382" t="str">
        <x:v>캘린더</x:v>
      </x:c>
      <x:c r="N70" s="382" t="str">
        <x:v>무료체험 종료일, 자동 갱신일, 가격 인상 적용일, 할인 종료일</x:v>
      </x:c>
      <x:c r="O70" s="382" t="str">
        <x:v>있다</x:v>
      </x:c>
      <x:c r="P70" s="382"/>
      <x:c r="Q70" s="382" t="str">
        <x:v>갱신일</x:v>
      </x:c>
      <x:c r="R70" s="382" t="str">
        <x:v>2~3개</x:v>
      </x:c>
      <x:c r="S70" s="382" t="str">
        <x:v>한 명이 전액 부담</x:v>
      </x:c>
      <x:c r="T70" s="382" t="n">
        <x:v>1</x:v>
      </x:c>
      <x:c r="U70" s="382" t="str">
        <x:v>공유 인원 변경</x:v>
      </x:c>
      <x:c r="V70" s="382" t="str">
        <x:v>기존 상품과 중복되는 구독·혜택을 확인하기 어려움</x:v>
      </x:c>
      <x:c r="W70" s="382" t="str">
        <x:v>더 저렴한 요금제로 변경</x:v>
      </x:c>
      <x:c r="X70" s="382" t="str">
        <x:v>기존 상품과 중복 가능성이 있는 구독·혜택</x:v>
      </x:c>
      <x:c r="Y70" s="382" t="str">
        <x:v>무료체험 종료 및 자동 갱신 전, 혜택 사용기간 종료 전, 가격 인상 적용 전, 보유 혜택과 별도 구독이 겹칠 가능성이 있을 때</x:v>
      </x:c>
      <x:c r="Z70" s="382"/>
    </x:row>
    <x:row r="71" ht="42" customHeight="1">
      <x:c r="A71" s="400" t="n">
        <x:v>46255.809065995374</x:v>
      </x:c>
      <x:c r="B71" s="382" t="str">
        <x:v>50대 이상</x:v>
      </x:c>
      <x:c r="C71" s="382" t="str">
        <x:v>주부</x:v>
      </x:c>
      <x:c r="D71" s="382" t="str">
        <x:v>4~6개</x:v>
      </x:c>
      <x:c r="E71" s="382" t="str">
        <x:v>OTT (예: 넷플릭스 등), 생성형 AI (예: GPT 등), 음악·전자책·콘텐츠 (예 : Melon 등), 쇼핑 멤버십 (예 : 네이버+ 멤버십 등), 배달 멤버십 (예: 배민클럽 등), 통신사 결합상품·구독 혜택</x:v>
      </x:c>
      <x:c r="F71" s="382" t="str">
        <x:v>1~5만원</x:v>
      </x:c>
      <x:c r="G71" s="382" t="n">
        <x:v>4</x:v>
      </x:c>
      <x:c r="H71" s="382" t="str">
        <x:v>가끔 있다</x:v>
      </x:c>
      <x:c r="I71" s="382" t="str">
        <x:v>가끔 있다</x:v>
      </x:c>
      <x:c r="J71" s="382" t="n">
        <x:v>5</x:v>
      </x:c>
      <x:c r="K71" s="382"/>
      <x:c r="L71" s="382" t="str">
        <x:v>일부만 알고 있다</x:v>
      </x:c>
      <x:c r="M71" s="382" t="str">
        <x:v>기억에 의존, 각 서비스 앱 확인, 카드·은행 앱 확인</x:v>
      </x:c>
      <x:c r="N71" s="382" t="str">
        <x:v>가격 인상 적용일, 일시정지한 구독의 재개 시점</x:v>
      </x:c>
      <x:c r="O71" s="382" t="str">
        <x:v>있다</x:v>
      </x:c>
      <x:c r="P71" s="382"/>
      <x:c r="Q71" s="382" t="str">
        <x:v>약정 종료일</x:v>
      </x:c>
      <x:c r="R71" s="382" t="str">
        <x:v>2~3개</x:v>
      </x:c>
      <x:c r="S71" s="382" t="str">
        <x:v>한 명이 전액 부담</x:v>
      </x:c>
      <x:c r="T71" s="382" t="n">
        <x:v>1</x:v>
      </x:c>
      <x:c r="U71" s="382" t="str">
        <x:v>공유 인원 변경</x:v>
      </x:c>
      <x:c r="V71" s="382" t="str">
        <x:v>현재 어떤 상품을 이용 중인지 한눈에 보기 어려움</x:v>
      </x:c>
      <x:c r="W71" s="382" t="str">
        <x:v>완전 해지</x:v>
      </x:c>
      <x:c r="X71" s="382" t="str">
        <x:v>더 유리한 이용방법</x:v>
      </x:c>
      <x:c r="Y71" s="382" t="str">
        <x:v>무료체험 종료 및 자동 갱신 전, 보유 혜택과 별도 구독이 겹칠 가능성이 있을 때</x:v>
      </x:c>
      <x:c r="Z71" s="382"/>
    </x:row>
    <x:row r="72" ht="42" customHeight="1">
      <x:c r="A72" s="400" t="n">
        <x:v>46255.821103553244</x:v>
      </x:c>
      <x:c r="B72" s="382" t="str">
        <x:v>20대</x:v>
      </x:c>
      <x:c r="C72" s="382" t="str">
        <x:v>주부</x:v>
      </x:c>
      <x:c r="D72" s="382" t="str">
        <x:v>1~3개</x:v>
      </x:c>
      <x:c r="E72" s="382" t="str">
        <x:v>OTT (예: 넷플릭스 등), 쇼핑 멤버십 (예 : 네이버+ 멤버십 등), 배달 멤버십 (예: 배민클럽 등)</x:v>
      </x:c>
      <x:c r="F72" s="382" t="str">
        <x:v>1~5만원</x:v>
      </x:c>
      <x:c r="G72" s="382" t="n">
        <x:v>2</x:v>
      </x:c>
      <x:c r="H72" s="382" t="str">
        <x:v>가끔 있다</x:v>
      </x:c>
      <x:c r="I72" s="382" t="str">
        <x:v>가끔 있다</x:v>
      </x:c>
      <x:c r="J72" s="382" t="n">
        <x:v>5</x:v>
      </x:c>
      <x:c r="K72" s="382"/>
      <x:c r="L72" s="382" t="str">
        <x:v>일부만 알고 있다</x:v>
      </x:c>
      <x:c r="M72" s="382" t="str">
        <x:v>기억에 의존, 결제 문자·푸시 알림</x:v>
      </x:c>
      <x:c r="N72" s="382" t="str">
        <x:v>무료체험 종료일, 자동 갱신일</x:v>
      </x:c>
      <x:c r="O72" s="382" t="str">
        <x:v>없다</x:v>
      </x:c>
      <x:c r="P72" s="382" t="str">
        <x:v>직접 입력하기 귀찮음</x:v>
      </x:c>
      <x:c r="Q72" s="382"/>
      <x:c r="R72" s="382" t="str">
        <x:v>1개</x:v>
      </x:c>
      <x:c r="S72" s="382" t="str">
        <x:v>한 명이 전액 부담</x:v>
      </x:c>
      <x:c r="T72" s="382" t="n">
        <x:v>3</x:v>
      </x:c>
      <x:c r="U72" s="382" t="str">
        <x:v>정산금액 계산</x:v>
      </x:c>
      <x:c r="V72" s="382" t="str">
        <x:v>매월 총 얼마를 지출하는지 파악하기 어려움</x:v>
      </x:c>
      <x:c r="W72" s="382" t="str">
        <x:v>더 저렴한 요금제로 변경</x:v>
      </x:c>
      <x:c r="X72" s="382" t="str">
        <x:v>이번 달 총 결제 예정금액, 더 유리한 이용방법</x:v>
      </x:c>
      <x:c r="Y72" s="382" t="str">
        <x:v>무료체험 종료 및 자동 갱신 전, 보유 혜택과 별도 구독이 겹칠 가능성이 있을 때</x:v>
      </x:c>
      <x:c r="Z72" s="382"/>
    </x:row>
    <x:row r="73" ht="42" customHeight="1">
      <x:c r="A73" s="400" t="n">
        <x:v>46255.82325556713</x:v>
      </x:c>
      <x:c r="B73" s="382" t="str">
        <x:v>20대</x:v>
      </x:c>
      <x:c r="C73" s="382" t="str">
        <x:v>기타 (무직 포함)</x:v>
      </x:c>
      <x:c r="D73" s="382" t="str">
        <x:v>1~3개</x:v>
      </x:c>
      <x:c r="E73" s="382" t="str">
        <x:v>OTT (예: 넷플릭스 등), 쇼핑 멤버십 (예 : 네이버+ 멤버십 등), 클라우드·생산성 툴 (예: icloud / notion 등)</x:v>
      </x:c>
      <x:c r="F73" s="382" t="str">
        <x:v>1~5만원</x:v>
      </x:c>
      <x:c r="G73" s="382" t="n">
        <x:v>3</x:v>
      </x:c>
      <x:c r="H73" s="382" t="str">
        <x:v>가끔 있다</x:v>
      </x:c>
      <x:c r="I73" s="382" t="str">
        <x:v>자주있다</x:v>
      </x:c>
      <x:c r="J73" s="382" t="n">
        <x:v>4</x:v>
      </x:c>
      <x:c r="K73" s="382"/>
      <x:c r="L73" s="382" t="str">
        <x:v>일부만 알고 있다</x:v>
      </x:c>
      <x:c r="M73" s="382" t="str">
        <x:v>각 서비스 앱 확인, 카드·은행 앱 확인, 캘린더</x:v>
      </x:c>
      <x:c r="N73" s="382" t="str">
        <x:v>자동 갱신일</x:v>
      </x:c>
      <x:c r="O73" s="382" t="str">
        <x:v>있다</x:v>
      </x:c>
      <x:c r="P73" s="382"/>
      <x:c r="Q73" s="382" t="str">
        <x:v>무료체험 종료일</x:v>
      </x:c>
      <x:c r="R73" s="382" t="str">
        <x:v>없음</x:v>
      </x:c>
      <x:c r="S73" s="382"/>
      <x:c r="T73" s="382"/>
      <x:c r="U73" s="382"/>
      <x:c r="V73" s="382" t="str">
        <x:v>현재 어떤 상품을 이용 중인지 한눈에 보기 어려움, 여러 앱·사이트를 확인해야 해서 번거로움</x:v>
      </x:c>
      <x:c r="W73" s="382" t="str">
        <x:v>완전 해지</x:v>
      </x:c>
      <x:c r="X73" s="382" t="str">
        <x:v>이번 달 총 결제 예정금액, 내가 현재 보유한 전체 혜택, 변경·해지하기 적절한 시점</x:v>
      </x:c>
      <x:c r="Y73" s="382" t="str">
        <x:v>무료체험 종료 및 자동 갱신 전, 혜택 사용기간 종료 전, 가격 인상 적용 전</x:v>
      </x:c>
      <x:c r="Z73" s="382"/>
    </x:row>
    <x:row r="74" ht="42" customHeight="1">
      <x:c r="A74" s="400" t="n">
        <x:v>46255.82432046296</x:v>
      </x:c>
      <x:c r="B74" s="382" t="str">
        <x:v>50대 이상</x:v>
      </x:c>
      <x:c r="C74" s="382" t="str">
        <x:v>주부</x:v>
      </x:c>
      <x:c r="D74" s="382" t="str">
        <x:v>4~6개</x:v>
      </x:c>
      <x:c r="E74" s="382" t="str">
        <x:v>OTT (예: 넷플릭스 등), 생성형 AI (예: GPT 등), 음악·전자책·콘텐츠 (예 : Melon 등), 쇼핑 멤버십 (예 : 네이버+ 멤버십 등), 배달 멤버십 (예: 배민클럽 등), 클라우드·생산성 툴 (예: icloud / notion 등)</x:v>
      </x:c>
      <x:c r="F74" s="382" t="str">
        <x:v>5~10만원 이상</x:v>
      </x:c>
      <x:c r="G74" s="382" t="n">
        <x:v>3</x:v>
      </x:c>
      <x:c r="H74" s="382" t="str">
        <x:v>기억나지 않는다</x:v>
      </x:c>
      <x:c r="I74" s="382" t="str">
        <x:v>가끔 있다</x:v>
      </x:c>
      <x:c r="J74" s="382" t="n">
        <x:v>4</x:v>
      </x:c>
      <x:c r="K74" s="382"/>
      <x:c r="L74" s="382" t="str">
        <x:v>정확히 알고 있다</x:v>
      </x:c>
      <x:c r="M74" s="382" t="str">
        <x:v>결제 문자·푸시 알림, 카드·은행 앱 확인</x:v>
      </x:c>
      <x:c r="N74" s="382" t="str">
        <x:v>무료체험 종료일</x:v>
      </x:c>
      <x:c r="O74" s="382" t="str">
        <x:v>있다</x:v>
      </x:c>
      <x:c r="P74" s="382"/>
      <x:c r="Q74" s="382" t="str">
        <x:v>약정 종료일</x:v>
      </x:c>
      <x:c r="R74" s="382" t="str">
        <x:v>2~3개</x:v>
      </x:c>
      <x:c r="S74" s="382" t="str">
        <x:v>한 명이 전액 부담</x:v>
      </x:c>
      <x:c r="T74" s="382" t="n">
        <x:v>1</x:v>
      </x:c>
      <x:c r="U74" s="382" t="str">
        <x:v>없다 </x:v>
      </x:c>
      <x:c r="V74" s="382" t="str">
        <x:v>특별히 불편하지 않음</x:v>
      </x:c>
      <x:c r="W74" s="382" t="str">
        <x:v>완전 해지</x:v>
      </x:c>
      <x:c r="X74" s="382" t="str">
        <x:v>내가 현재 보유한 전체 혜택</x:v>
      </x:c>
      <x:c r="Y74" s="382" t="str">
        <x:v>보유 혜택과 별도 구독이 겹칠 가능성이 있을 때</x:v>
      </x:c>
      <x:c r="Z74" s="382"/>
    </x:row>
    <x:row r="75" ht="42" customHeight="1">
      <x:c r="A75" s="400" t="n">
        <x:v>46255.82947626157</x:v>
      </x:c>
      <x:c r="B75" s="382" t="str">
        <x:v>20대</x:v>
      </x:c>
      <x:c r="C75" s="382" t="str">
        <x:v>기타 (무직 포함)</x:v>
      </x:c>
      <x:c r="D75" s="382" t="str">
        <x:v>1~3개</x:v>
      </x:c>
      <x:c r="E75" s="382" t="str">
        <x:v>OTT (예: 넷플릭스 등), 음악·전자책·콘텐츠 (예 : Melon 등), 배달 멤버십 (예: 배민클럽 등)</x:v>
      </x:c>
      <x:c r="F75" s="382" t="str">
        <x:v>잘 모르겠다</x:v>
      </x:c>
      <x:c r="G75" s="382" t="n">
        <x:v>3</x:v>
      </x:c>
      <x:c r="H75" s="382" t="str">
        <x:v>가끔 있다</x:v>
      </x:c>
      <x:c r="I75" s="382" t="str">
        <x:v>가끔 있다</x:v>
      </x:c>
      <x:c r="J75" s="382" t="n">
        <x:v>2</x:v>
      </x:c>
      <x:c r="K75" s="382"/>
      <x:c r="L75" s="382" t="str">
        <x:v>일부만 알고 있다</x:v>
      </x:c>
      <x:c r="M75" s="382" t="str">
        <x:v>따로 관리하지 않음</x:v>
      </x:c>
      <x:c r="N75" s="382" t="str">
        <x:v>경험 없음</x:v>
      </x:c>
      <x:c r="O75" s="382" t="str">
        <x:v>없다</x:v>
      </x:c>
      <x:c r="P75" s="382" t="str">
        <x:v>필요성을 못 느낌</x:v>
      </x:c>
      <x:c r="Q75" s="382"/>
      <x:c r="R75" s="382" t="str">
        <x:v>2~3개</x:v>
      </x:c>
      <x:c r="S75" s="382" t="str">
        <x:v>매월 1/n로 나누어 송금</x:v>
      </x:c>
      <x:c r="T75" s="382" t="n">
        <x:v>3</x:v>
      </x:c>
      <x:c r="U75" s="382" t="str">
        <x:v>정산 시점 기억</x:v>
      </x:c>
      <x:c r="V75" s="382" t="str">
        <x:v>결제일·갱신일을 관리하기 어려움, 공동 구독 정산이 번거로움</x:v>
      </x:c>
      <x:c r="W75" s="382" t="str">
        <x:v>일시정지</x:v>
      </x:c>
      <x:c r="X75" s="382" t="str">
        <x:v>공동 구독 상품 및 정산정보</x:v>
      </x:c>
      <x:c r="Y75" s="382" t="str">
        <x:v>공동 구독 정산 시점</x:v>
      </x:c>
      <x:c r="Z75" s="382"/>
    </x:row>
    <x:row r="76" ht="42" customHeight="1">
      <x:c r="A76" s="400" t="n">
        <x:v>46255.831966909725</x:v>
      </x:c>
      <x:c r="B76" s="382" t="str">
        <x:v>30대</x:v>
      </x:c>
      <x:c r="C76" s="382" t="str">
        <x:v>프리랜서·자영업</x:v>
      </x:c>
      <x:c r="D76" s="382" t="str">
        <x:v>7개 이상</x:v>
      </x:c>
      <x:c r="E76" s="382" t="str">
        <x:v>OTT (예: 넷플릭스 등), 생성형 AI (예: GPT 등), 클라우드·생산성 툴 (예: icloud / notion 등), 통신사 결합상품·구독 혜택, 퍼블리</x:v>
      </x:c>
      <x:c r="F76" s="382" t="str">
        <x:v>5~10만원 이상</x:v>
      </x:c>
      <x:c r="G76" s="382" t="n">
        <x:v>3</x:v>
      </x:c>
      <x:c r="H76" s="382" t="str">
        <x:v>자주 있다</x:v>
      </x:c>
      <x:c r="I76" s="382" t="str">
        <x:v>가끔 있다</x:v>
      </x:c>
      <x:c r="J76" s="382" t="n">
        <x:v>5</x:v>
      </x:c>
      <x:c r="K76" s="382"/>
      <x:c r="L76" s="382" t="str">
        <x:v>일부만 알고 있다</x:v>
      </x:c>
      <x:c r="M76" s="382" t="str">
        <x:v>메모·노션·엑셀</x:v>
      </x:c>
      <x:c r="N76" s="382" t="str">
        <x:v>무료체험 종료일, 자동 갱신일</x:v>
      </x:c>
      <x:c r="O76" s="382" t="str">
        <x:v>있다</x:v>
      </x:c>
      <x:c r="P76" s="382"/>
      <x:c r="Q76" s="382" t="str">
        <x:v>무료체험 종료일</x:v>
      </x:c>
      <x:c r="R76" s="382" t="str">
        <x:v>1개</x:v>
      </x:c>
      <x:c r="S76" s="382" t="str">
        <x:v>처음에 1년치 구독 비용을 받음</x:v>
      </x:c>
      <x:c r="T76" s="382" t="n">
        <x:v>2</x:v>
      </x:c>
      <x:c r="U76" s="382" t="str">
        <x:v>공유 인원 변경</x:v>
      </x:c>
      <x:c r="V76" s="382" t="str">
        <x:v>현재 어떤 상품을 이용 중인지 한눈에 보기 어려움, 매월 총 얼마를 지출하는지 파악하기 어려움, 결제일·갱신일을 관리하기 어려움, 여러 앱·사이트를 확인해야 해서 번거로움</x:v>
      </x:c>
      <x:c r="W76" s="382" t="str">
        <x:v>완전 해지</x:v>
      </x:c>
      <x:c r="X76" s="382" t="str">
        <x:v>현재 이용 중인 전체 구독·멤버십</x:v>
      </x:c>
      <x:c r="Y76" s="382" t="str">
        <x:v>무료체험 종료 및 자동 갱신 전, 혜택 사용기간 종료 전</x:v>
      </x:c>
      <x:c r="Z76" s="382"/>
    </x:row>
    <x:row r="77" ht="42" customHeight="1">
      <x:c r="A77" s="400" t="n">
        <x:v>46255.83393392361</x:v>
      </x:c>
      <x:c r="B77" s="382" t="str">
        <x:v>30대</x:v>
      </x:c>
      <x:c r="C77" s="382" t="str">
        <x:v>직장인</x:v>
      </x:c>
      <x:c r="D77" s="382" t="str">
        <x:v>4~6개</x:v>
      </x:c>
      <x:c r="E77" s="382" t="str">
        <x:v>OTT (예: 넷플릭스 등), 생성형 AI (예: GPT 등), 음악·전자책·콘텐츠 (예 : Melon 등), 쇼핑 멤버십 (예 : 네이버+ 멤버십 등), 배달 멤버십 (예: 배민클럽 등), 클라우드·생산성 툴 (예: icloud / notion 등), 통신사 결합상품·구독 혜택</x:v>
      </x:c>
      <x:c r="F77" s="382" t="str">
        <x:v>5~10만원 이상</x:v>
      </x:c>
      <x:c r="G77" s="382" t="n">
        <x:v>5</x:v>
      </x:c>
      <x:c r="H77" s="382" t="str">
        <x:v>자주 있다</x:v>
      </x:c>
      <x:c r="I77" s="382" t="str">
        <x:v>자주있다</x:v>
      </x:c>
      <x:c r="J77" s="382" t="n">
        <x:v>5</x:v>
      </x:c>
      <x:c r="K77" s="382"/>
      <x:c r="L77" s="382" t="str">
        <x:v>모른다</x:v>
      </x:c>
      <x:c r="M77" s="382" t="str">
        <x:v>따로 관리하지 않음</x:v>
      </x:c>
      <x:c r="N77" s="382" t="str">
        <x:v>경험 없음</x:v>
      </x:c>
      <x:c r="O77" s="382" t="str">
        <x:v>없다</x:v>
      </x:c>
      <x:c r="P77" s="382" t="str">
        <x:v>직접 입력하기 귀찮음</x:v>
      </x:c>
      <x:c r="Q77" s="382"/>
      <x:c r="R77" s="382" t="str">
        <x:v>2~3개</x:v>
      </x:c>
      <x:c r="S77" s="382" t="str">
        <x:v>한 명이 전액 부담</x:v>
      </x:c>
      <x:c r="T77" s="382" t="n">
        <x:v>5</x:v>
      </x:c>
      <x:c r="U77" s="382" t="str">
        <x:v>공유 인원 변경</x:v>
      </x:c>
      <x:c r="V77" s="382" t="str">
        <x:v>기존 상품과 중복되는 구독·혜택을 확인하기 어려움, 공동 구독 정산이 번거로움, 여러 앱·사이트를 확인해야 해서 번거로움</x:v>
      </x:c>
      <x:c r="W77" s="382" t="str">
        <x:v>완전 해지</x:v>
      </x:c>
      <x:c r="X77" s="382" t="str">
        <x:v>현재 이용 중인 전체 구독·멤버십, 이번 달 총 결제 예정금액, 내가 현재 보유한 전체 혜택, 기존 상품과 중복 가능성이 있는 구독·혜택, 더 유리한 이용방법, 변경·해지하기 적절한 시점, 공동 구독 상품 및 정산정보</x:v>
      </x:c>
      <x:c r="Y77" s="382" t="str">
        <x:v>보유 혜택과 별도 구독이 겹칠 가능성이 있을 때</x:v>
      </x:c>
      <x:c r="Z77" s="382" t="str">
        <x:v>얼마나 사용하지는 시간체크를 기반으로, 구독료계산해서 알려줬으면 좋겠음 이거 굳이 필요한가?
그리고, OTT의경우 자동으로 업데이트될 콘텐츠와 날짜알려쥬는 알럼같운거</x:v>
      </x:c>
    </x:row>
    <x:row r="78" ht="42" customHeight="1">
      <x:c r="A78" s="400" t="n">
        <x:v>46255.84107243056</x:v>
      </x:c>
      <x:c r="B78" s="382" t="str">
        <x:v>30대</x:v>
      </x:c>
      <x:c r="C78" s="382" t="str">
        <x:v>기타 (무직 포함)</x:v>
      </x:c>
      <x:c r="D78" s="382" t="str">
        <x:v>1~3개</x:v>
      </x:c>
      <x:c r="E78" s="382" t="str">
        <x:v>OTT (예: 넷플릭스 등), 게임 패스 (예 : Xbox gamepass 등)</x:v>
      </x:c>
      <x:c r="F78" s="382" t="str">
        <x:v>1~5만원</x:v>
      </x:c>
      <x:c r="G78" s="382" t="n">
        <x:v>2</x:v>
      </x:c>
      <x:c r="H78" s="382" t="str">
        <x:v>가끔 있다</x:v>
      </x:c>
      <x:c r="I78" s="382" t="str">
        <x:v>가끔 있다</x:v>
      </x:c>
      <x:c r="J78" s="382" t="n">
        <x:v>4</x:v>
      </x:c>
      <x:c r="K78" s="382"/>
      <x:c r="L78" s="382" t="str">
        <x:v>일부만 알고 있다</x:v>
      </x:c>
      <x:c r="M78" s="382" t="str">
        <x:v>기억에 의존, 각 서비스 앱 확인, 카드·은행 앱 확인</x:v>
      </x:c>
      <x:c r="N78" s="382" t="str">
        <x:v>무료체험 종료일, 자동 갱신일, 통신·인터넷 약정 종료일</x:v>
      </x:c>
      <x:c r="O78" s="382" t="str">
        <x:v>없다</x:v>
      </x:c>
      <x:c r="P78" s="382" t="str">
        <x:v>직접 입력하기 귀찮음</x:v>
      </x:c>
      <x:c r="Q78" s="382"/>
      <x:c r="R78" s="382" t="str">
        <x:v>없음</x:v>
      </x:c>
      <x:c r="S78" s="382"/>
      <x:c r="T78" s="382"/>
      <x:c r="U78" s="382"/>
      <x:c r="V78" s="382" t="str">
        <x:v>현재 어떤 상품을 이용 중인지 한눈에 보기 어려움, 매월 총 얼마를 지출하는지 파악하기 어려움, 결제일·갱신일을 관리하기 어려움, 여러 앱·사이트를 확인해야 해서 번거로움</x:v>
      </x:c>
      <x:c r="W78" s="382" t="str">
        <x:v>완전 해지</x:v>
      </x:c>
      <x:c r="X78" s="382" t="str">
        <x:v>현재 이용 중인 전체 구독·멤버십, 이번 달 총 결제 예정금액, 더 유리한 이용방법</x:v>
      </x:c>
      <x:c r="Y78" s="382" t="str">
        <x:v>무료체험 종료 및 자동 갱신 전, 혜택 사용기간 종료 전, 통신·인터넷 약정 종료 전, 가격 인상 적용 전, 보유 혜택과 별도 구독이 겹칠 가능성이 있을 때</x:v>
      </x:c>
      <x:c r="Z78" s="382"/>
    </x:row>
    <x:row r="79" ht="42" customHeight="1">
      <x:c r="A79" s="400" t="n">
        <x:v>46255.8579821412</x:v>
      </x:c>
      <x:c r="B79" s="382" t="str">
        <x:v>20대</x:v>
      </x:c>
      <x:c r="C79" s="382" t="str">
        <x:v>기타 (무직 포함)</x:v>
      </x:c>
      <x:c r="D79" s="382" t="str">
        <x:v>4~6개</x:v>
      </x:c>
      <x:c r="E79" s="382" t="str">
        <x:v>생성형 AI (예: GPT 등), 쇼핑 멤버십 (예 : 네이버+ 멤버십 등), 디스코드</x:v>
      </x:c>
      <x:c r="F79" s="382" t="str">
        <x:v>5~10만원 이상</x:v>
      </x:c>
      <x:c r="G79" s="382" t="n">
        <x:v>4</x:v>
      </x:c>
      <x:c r="H79" s="382" t="str">
        <x:v>가끔 있다</x:v>
      </x:c>
      <x:c r="I79" s="382" t="str">
        <x:v>거의 없다</x:v>
      </x:c>
      <x:c r="J79" s="382" t="n">
        <x:v>5</x:v>
      </x:c>
      <x:c r="K79" s="382"/>
      <x:c r="L79" s="382" t="str">
        <x:v>일부만 알고 있다</x:v>
      </x:c>
      <x:c r="M79" s="382" t="str">
        <x:v>기억에 의존, 결제 문자·푸시 알림</x:v>
      </x:c>
      <x:c r="N79" s="382" t="str">
        <x:v>할인 종료일</x:v>
      </x:c>
      <x:c r="O79" s="382" t="str">
        <x:v>없다</x:v>
      </x:c>
      <x:c r="P79" s="382" t="str">
        <x:v>필요성을 못 느낌</x:v>
      </x:c>
      <x:c r="Q79" s="382"/>
      <x:c r="R79" s="382" t="str">
        <x:v>없음</x:v>
      </x:c>
      <x:c r="S79" s="382"/>
      <x:c r="T79" s="382"/>
      <x:c r="U79" s="382"/>
      <x:c r="V79" s="382" t="str">
        <x:v>현재 어떤 상품을 이용 중인지 한눈에 보기 어려움, 매월 총 얼마를 지출하는지 파악하기 어려움, 혜택 적용 조건이 복잡함</x:v>
      </x:c>
      <x:c r="W79" s="382" t="str">
        <x:v>완전 해지</x:v>
      </x:c>
      <x:c r="X79" s="382" t="str">
        <x:v>현재 이용 중인 전체 구독·멤버십, 이번 달 총 결제 예정금액, 내가 현재 보유한 전체 혜택, 더 유리한 이용방법</x:v>
      </x:c>
      <x:c r="Y79" s="382" t="str">
        <x:v>보유 혜택과 별도 구독이 겹칠 가능성이 있을 때</x:v>
      </x:c>
      <x:c r="Z79" s="382"/>
    </x:row>
    <x:row r="80" ht="42" customHeight="1">
      <x:c r="A80" s="400" t="n">
        <x:v>46255.864537870366</x:v>
      </x:c>
      <x:c r="B80" s="382" t="str">
        <x:v>50대 이상</x:v>
      </x:c>
      <x:c r="C80" s="382" t="str">
        <x:v>직장인</x:v>
      </x:c>
      <x:c r="D80" s="382" t="str">
        <x:v>1~3개</x:v>
      </x:c>
      <x:c r="E80" s="382" t="str">
        <x:v>생성형 AI (예: GPT 등), 쇼핑 멤버십 (예 : 네이버+ 멤버십 등)</x:v>
      </x:c>
      <x:c r="F80" s="382" t="str">
        <x:v>1~5만원</x:v>
      </x:c>
      <x:c r="G80" s="382" t="n">
        <x:v>2</x:v>
      </x:c>
      <x:c r="H80" s="382" t="str">
        <x:v>가끔 있다</x:v>
      </x:c>
      <x:c r="I80" s="382" t="str">
        <x:v>가끔 있다</x:v>
      </x:c>
      <x:c r="J80" s="382" t="n">
        <x:v>4</x:v>
      </x:c>
      <x:c r="K80" s="382"/>
      <x:c r="L80" s="382" t="str">
        <x:v>일부만 알고 있다</x:v>
      </x:c>
      <x:c r="M80" s="382" t="str">
        <x:v>캘린더, </x:v>
      </x:c>
      <x:c r="N80" s="382" t="str">
        <x:v>무료체험 종료일, 할인 종료일, 통신·인터넷 약정 종료일</x:v>
      </x:c>
      <x:c r="O80" s="382" t="str">
        <x:v>없다</x:v>
      </x:c>
      <x:c r="P80" s="382" t="str">
        <x:v>기존 알림으로 충분함</x:v>
      </x:c>
      <x:c r="Q80" s="382"/>
      <x:c r="R80" s="382" t="str">
        <x:v>2~3개</x:v>
      </x:c>
      <x:c r="S80" s="382" t="str">
        <x:v>매월 1/n로 나누어 송금</x:v>
      </x:c>
      <x:c r="T80" s="382" t="n">
        <x:v>2</x:v>
      </x:c>
      <x:c r="U80" s="382" t="str">
        <x:v>정산 시점 기억</x:v>
      </x:c>
      <x:c r="V80" s="382" t="str">
        <x:v>현재 어떤 상품을 이용 중인지 한눈에 보기 어려움, 매월 총 얼마를 지출하는지 파악하기 어려움, 결제일·갱신일을 관리하기 어려움</x:v>
      </x:c>
      <x:c r="W80" s="382" t="str">
        <x:v>완전 해지</x:v>
      </x:c>
      <x:c r="X80" s="382" t="str">
        <x:v>현재 이용 중인 전체 구독·멤버십, 이번 달 총 결제 예정금액, 내가 현재 보유한 전체 혜택, 더 유리한 이용방법</x:v>
      </x:c>
      <x:c r="Y80" s="382" t="str">
        <x:v>무료체험 종료 및 자동 갱신 전, 혜택 사용기간 종료 전, 가격 인상 적용 전</x:v>
      </x:c>
      <x:c r="Z80" s="382"/>
    </x:row>
    <x:row r="81" ht="42" customHeight="1">
      <x:c r="A81" s="400" t="n">
        <x:v>46255.880582777776</x:v>
      </x:c>
      <x:c r="B81" s="382" t="str">
        <x:v>30대</x:v>
      </x:c>
      <x:c r="C81" s="382" t="str">
        <x:v>기타 (무직 포함)</x:v>
      </x:c>
      <x:c r="D81" s="382" t="str">
        <x:v>4~6개</x:v>
      </x:c>
      <x:c r="E81" s="382" t="str">
        <x:v>OTT (예: 넷플릭스 등), 음악·전자책·콘텐츠 (예 : Melon 등), 쇼핑 멤버십 (예 : 네이버+ 멤버십 등), 배달 멤버십 (예: 배민클럽 등)</x:v>
      </x:c>
      <x:c r="F81" s="382" t="str">
        <x:v>1~5만원</x:v>
      </x:c>
      <x:c r="G81" s="382" t="n">
        <x:v>4</x:v>
      </x:c>
      <x:c r="H81" s="382" t="str">
        <x:v>가끔 있다</x:v>
      </x:c>
      <x:c r="I81" s="382" t="str">
        <x:v>가끔 있다</x:v>
      </x:c>
      <x:c r="J81" s="382" t="n">
        <x:v>4</x:v>
      </x:c>
      <x:c r="K81" s="382"/>
      <x:c r="L81" s="382" t="str">
        <x:v>일부만 알고 있다</x:v>
      </x:c>
      <x:c r="M81" s="382" t="str">
        <x:v>기억에 의존, 결제 문자·푸시 알림, 캘린더</x:v>
      </x:c>
      <x:c r="N81" s="382" t="str">
        <x:v>통신·인터넷 약정 종료일, 특히 인터넷 계약 이후에 이전꺼 철회요청안하면 돈 계속나감 ㅡㅡ 거진 몇년냈음</x:v>
      </x:c>
      <x:c r="O81" s="382" t="str">
        <x:v>있다</x:v>
      </x:c>
      <x:c r="P81" s="382"/>
      <x:c r="Q81" s="382" t="str">
        <x:v>결제일</x:v>
      </x:c>
      <x:c r="R81" s="382" t="str">
        <x:v>없음</x:v>
      </x:c>
      <x:c r="S81" s="382"/>
      <x:c r="T81" s="382"/>
      <x:c r="U81" s="382"/>
      <x:c r="V81" s="382" t="str">
        <x:v>매월 총 얼마를 지출하는지 파악하기 어려움</x:v>
      </x:c>
      <x:c r="W81" s="382" t="str">
        <x:v>완전 해지</x:v>
      </x:c>
      <x:c r="X81" s="382" t="str">
        <x:v>현재 이용 중인 전체 구독·멤버십, 이번 달 총 결제 예정금액, 내가 현재 보유한 전체 혜택, 더 유리한 이용방법</x:v>
      </x:c>
      <x:c r="Y81" s="382" t="str">
        <x:v>무료체험 종료 및 자동 갱신 전, 통신·인터넷 약정 종료 전, 가격 인상 적용 전</x:v>
      </x:c>
      <x:c r="Z81" s="382"/>
    </x:row>
    <x:row r="82" ht="42" customHeight="1">
      <x:c r="A82" s="400" t="n">
        <x:v>46255.900723796294</x:v>
      </x:c>
      <x:c r="B82" s="382" t="str">
        <x:v>30대</x:v>
      </x:c>
      <x:c r="C82" s="382" t="str">
        <x:v>기타 (무직 포함)</x:v>
      </x:c>
      <x:c r="D82" s="382" t="str">
        <x:v>7개 이상</x:v>
      </x:c>
      <x:c r="E82" s="382" t="str">
        <x:v>OTT (예: 넷플릭스 등), 생성형 AI (예: GPT 등), 음악·전자책·콘텐츠 (예 : Melon 등), 쇼핑 멤버십 (예 : 네이버+ 멤버십 등), 클라우드·생산성 툴 (예: icloud / notion 등)</x:v>
      </x:c>
      <x:c r="F82" s="382" t="str">
        <x:v>5~10만원 이상</x:v>
      </x:c>
      <x:c r="G82" s="382" t="n">
        <x:v>1</x:v>
      </x:c>
      <x:c r="H82" s="382" t="str">
        <x:v>기억나지 않는다</x:v>
      </x:c>
      <x:c r="I82" s="382" t="str">
        <x:v>거의 없다</x:v>
      </x:c>
      <x:c r="J82" s="382" t="n">
        <x:v>5</x:v>
      </x:c>
      <x:c r="K82" s="382"/>
      <x:c r="L82" s="382" t="str">
        <x:v>일부만 알고 있다</x:v>
      </x:c>
      <x:c r="M82" s="382" t="str">
        <x:v>따로 관리하지 않음, 기억에 의존, 결제 문자·푸시 알림, 각 서비스 앱 확인</x:v>
      </x:c>
      <x:c r="N82" s="382" t="str">
        <x:v>자동 갱신일</x:v>
      </x:c>
      <x:c r="O82" s="382" t="str">
        <x:v>있다</x:v>
      </x:c>
      <x:c r="P82" s="382"/>
      <x:c r="Q82" s="382" t="str">
        <x:v>결제일</x:v>
      </x:c>
      <x:c r="R82" s="382" t="str">
        <x:v>2~3개</x:v>
      </x:c>
      <x:c r="S82" s="382" t="str">
        <x:v>한 명이 전액 부담</x:v>
      </x:c>
      <x:c r="T82" s="382" t="n">
        <x:v>4</x:v>
      </x:c>
      <x:c r="U82" s="382" t="str">
        <x:v>요금제·가격 변경 반영</x:v>
      </x:c>
      <x:c r="V82" s="382" t="str">
        <x:v>현재 어떤 상품을 이용 중인지 한눈에 보기 어려움, 매월 총 얼마를 지출하는지 파악하기 어려움, 혜택 적용 조건이 복잡함, 결제일·갱신일을 관리하기 어려움, 기존 상품과 중복되는 구독·혜택을 확인하기 어려움</x:v>
      </x:c>
      <x:c r="W82" s="382" t="str">
        <x:v>완전 해지</x:v>
      </x:c>
      <x:c r="X82" s="382" t="str">
        <x:v>현재 이용 중인 전체 구독·멤버십, 이번 달 총 결제 예정금액, 내가 현재 보유한 전체 혜택</x:v>
      </x:c>
      <x:c r="Y82" s="382" t="str">
        <x:v>무료체험 종료 및 자동 갱신 전, 보유 혜택과 별도 구독이 겹칠 가능성이 있을 때</x:v>
      </x:c>
      <x:c r="Z82" s="382"/>
    </x:row>
    <x:row r="83" ht="42" customHeight="1">
      <x:c r="A83" s="400" t="n">
        <x:v>46255.90500783565</x:v>
      </x:c>
      <x:c r="B83" s="382" t="str">
        <x:v>20대</x:v>
      </x:c>
      <x:c r="C83" s="382" t="str">
        <x:v>프리랜서·자영업</x:v>
      </x:c>
      <x:c r="D83" s="382" t="str">
        <x:v>1~3개</x:v>
      </x:c>
      <x:c r="E83" s="382" t="str">
        <x:v>OTT (예: 넷플릭스 등), 음악·전자책·콘텐츠 (예 : Melon 등)</x:v>
      </x:c>
      <x:c r="F83" s="382" t="str">
        <x:v>1만원 미만</x:v>
      </x:c>
      <x:c r="G83" s="382" t="n">
        <x:v>3</x:v>
      </x:c>
      <x:c r="H83" s="382" t="str">
        <x:v>자주 있다</x:v>
      </x:c>
      <x:c r="I83" s="382" t="str">
        <x:v>자주있다</x:v>
      </x:c>
      <x:c r="J83" s="382" t="n">
        <x:v>5</x:v>
      </x:c>
      <x:c r="K83" s="382"/>
      <x:c r="L83" s="382" t="str">
        <x:v>일부만 알고 있다</x:v>
      </x:c>
      <x:c r="M83" s="382" t="str">
        <x:v>결제 문자·푸시 알림, 각 서비스 앱 확인</x:v>
      </x:c>
      <x:c r="N83" s="382" t="str">
        <x:v>자동 갱신일, 일시정지한 구독의 재개 시점</x:v>
      </x:c>
      <x:c r="O83" s="382" t="str">
        <x:v>없다</x:v>
      </x:c>
      <x:c r="P83" s="382" t="str">
        <x:v>직접 입력하기 귀찮음</x:v>
      </x:c>
      <x:c r="Q83" s="382"/>
      <x:c r="R83" s="382" t="str">
        <x:v>1개</x:v>
      </x:c>
      <x:c r="S83" s="382" t="str">
        <x:v>매월 1/n로 나누어 송금</x:v>
      </x:c>
      <x:c r="T83" s="382" t="n">
        <x:v>3</x:v>
      </x:c>
      <x:c r="U83" s="382" t="str">
        <x:v>정산금액 계산</x:v>
      </x:c>
      <x:c r="V83" s="382" t="str">
        <x:v>현재 어떤 상품을 이용 중인지 한눈에 보기 어려움, 기존 상품과 중복되는 구독·혜택을 확인하기 어려움</x:v>
      </x:c>
      <x:c r="W83" s="382" t="str">
        <x:v>완전 해지</x:v>
      </x:c>
      <x:c r="X83" s="382" t="str">
        <x:v>현재 이용 중인 전체 구독·멤버십, 이번 달 총 결제 예정금액, 내가 현재 보유한 전체 혜택</x:v>
      </x:c>
      <x:c r="Y83" s="382" t="str">
        <x:v>무료체험 종료 및 자동 갱신 전, 통신·인터넷 약정 종료 전</x:v>
      </x:c>
      <x:c r="Z83" s="382"/>
    </x:row>
    <x:row r="84" ht="42" customHeight="1">
      <x:c r="A84" s="400" t="n">
        <x:v>46255.908243854166</x:v>
      </x:c>
      <x:c r="B84" s="382" t="str">
        <x:v>20대</x:v>
      </x:c>
      <x:c r="C84" s="382" t="str">
        <x:v>기타 (무직 포함)</x:v>
      </x:c>
      <x:c r="D84" s="382" t="str">
        <x:v>1~3개</x:v>
      </x:c>
      <x:c r="E84" s="382" t="str">
        <x:v>OTT (예: 넷플릭스 등), 배달 멤버십 (예: 배민클럽 등)</x:v>
      </x:c>
      <x:c r="F84" s="382" t="str">
        <x:v>1~5만원</x:v>
      </x:c>
      <x:c r="G84" s="382" t="n">
        <x:v>4</x:v>
      </x:c>
      <x:c r="H84" s="382" t="str">
        <x:v>기억나지 않는다</x:v>
      </x:c>
      <x:c r="I84" s="382" t="str">
        <x:v>가끔 있다</x:v>
      </x:c>
      <x:c r="J84" s="382" t="n">
        <x:v>4</x:v>
      </x:c>
      <x:c r="K84" s="382"/>
      <x:c r="L84" s="382" t="str">
        <x:v>일부만 알고 있다</x:v>
      </x:c>
      <x:c r="M84" s="382" t="str">
        <x:v>결제 문자·푸시 알림</x:v>
      </x:c>
      <x:c r="N84" s="382" t="str">
        <x:v>자동 갱신일</x:v>
      </x:c>
      <x:c r="O84" s="382" t="str">
        <x:v>없다</x:v>
      </x:c>
      <x:c r="P84" s="382" t="str">
        <x:v>필요성을 못 느낌</x:v>
      </x:c>
      <x:c r="Q84" s="382"/>
      <x:c r="R84" s="382" t="str">
        <x:v>1개</x:v>
      </x:c>
      <x:c r="S84" s="382" t="str">
        <x:v>한 명이 전액 부담</x:v>
      </x:c>
      <x:c r="T84" s="382" t="n">
        <x:v>4</x:v>
      </x:c>
      <x:c r="U84" s="382" t="str">
        <x:v>특정인원이상 접속불가</x:v>
      </x:c>
      <x:c r="V84" s="382" t="str">
        <x:v>매월 총 얼마를 지출하는지 파악하기 어려움</x:v>
      </x:c>
      <x:c r="W84" s="382" t="str">
        <x:v>가족·친구와 공유</x:v>
      </x:c>
      <x:c r="X84" s="382" t="str">
        <x:v>현재 이용 중인 전체 구독·멤버십, 이번 달 총 결제 예정금액, 내가 현재 보유한 전체 혜택</x:v>
      </x:c>
      <x:c r="Y84" s="382" t="str">
        <x:v>무료체험 종료 및 자동 갱신 전, 가격 인상 적용 전, 공동 구독 정산 시점</x:v>
      </x:c>
      <x:c r="Z84" s="382"/>
    </x:row>
    <x:row r="85" ht="42" customHeight="1">
      <x:c r="A85" s="400" t="n">
        <x:v>46255.908740983796</x:v>
      </x:c>
      <x:c r="B85" s="382" t="str">
        <x:v>20대</x:v>
      </x:c>
      <x:c r="C85" s="382" t="str">
        <x:v>기타 (무직 포함)</x:v>
      </x:c>
      <x:c r="D85" s="382" t="str">
        <x:v>4~6개</x:v>
      </x:c>
      <x:c r="E85" s="382" t="str">
        <x:v>OTT (예: 넷플릭스 등), 음악·전자책·콘텐츠 (예 : Melon 등), 클라우드·생산성 툴 (예: icloud / notion 등), 어도비</x:v>
      </x:c>
      <x:c r="F85" s="382" t="str">
        <x:v>5~10만원 이상</x:v>
      </x:c>
      <x:c r="G85" s="382" t="n">
        <x:v>4</x:v>
      </x:c>
      <x:c r="H85" s="382" t="str">
        <x:v>가끔 있다</x:v>
      </x:c>
      <x:c r="I85" s="382" t="str">
        <x:v>가끔 있다</x:v>
      </x:c>
      <x:c r="J85" s="382" t="n">
        <x:v>5</x:v>
      </x:c>
      <x:c r="K85" s="382"/>
      <x:c r="L85" s="382" t="str">
        <x:v>일부만 알고 있다</x:v>
      </x:c>
      <x:c r="M85" s="382" t="str">
        <x:v>결제 문자·푸시 알림, 각 서비스 앱 확인</x:v>
      </x:c>
      <x:c r="N85" s="382" t="str">
        <x:v>자동 갱신일, 할인 종료일, 일시정지한 구독의 재개 시점</x:v>
      </x:c>
      <x:c r="O85" s="382" t="str">
        <x:v>있다</x:v>
      </x:c>
      <x:c r="P85" s="382"/>
      <x:c r="Q85" s="382" t="str">
        <x:v>결제일</x:v>
      </x:c>
      <x:c r="R85" s="382" t="str">
        <x:v>1개</x:v>
      </x:c>
      <x:c r="S85" s="382" t="str">
        <x:v>한 명이 전액 부담</x:v>
      </x:c>
      <x:c r="T85" s="382" t="n">
        <x:v>4</x:v>
      </x:c>
      <x:c r="U85" s="382" t="str">
        <x:v>정산금액 계산</x:v>
      </x:c>
      <x:c r="V85" s="382" t="str">
        <x:v>현재 어떤 상품을 이용 중인지 한눈에 보기 어려움, 매월 총 얼마를 지출하는지 파악하기 어려움</x:v>
      </x:c>
      <x:c r="W85" s="382" t="str">
        <x:v>완전 해지</x:v>
      </x:c>
      <x:c r="X85" s="382" t="str">
        <x:v>현재 이용 중인 전체 구독·멤버십, 이번 달 총 결제 예정금액, 내가 현재 보유한 전체 혜택, 더 유리한 이용방법</x:v>
      </x:c>
      <x:c r="Y85" s="382" t="str">
        <x:v>알림이 필요하지 않음</x:v>
      </x:c>
      <x:c r="Z85" s="382"/>
    </x:row>
    <x:row r="86" ht="42" customHeight="1">
      <x:c r="A86" s="400" t="n">
        <x:v>46255.91529767361</x:v>
      </x:c>
      <x:c r="B86" s="382" t="str">
        <x:v>20대</x:v>
      </x:c>
      <x:c r="C86" s="382" t="str">
        <x:v>직장인</x:v>
      </x:c>
      <x:c r="D86" s="382" t="str">
        <x:v>4~6개</x:v>
      </x:c>
      <x:c r="E86" s="382" t="str">
        <x:v>OTT (예: 넷플릭스 등), 음악·전자책·콘텐츠 (예 : Melon 등), 쇼핑 멤버십 (예 : 네이버+ 멤버십 등), 클라우드·생산성 툴 (예: icloud / notion 등)</x:v>
      </x:c>
      <x:c r="F86" s="382" t="str">
        <x:v>1~5만원</x:v>
      </x:c>
      <x:c r="G86" s="382" t="n">
        <x:v>4</x:v>
      </x:c>
      <x:c r="H86" s="382" t="str">
        <x:v>가끔 있다</x:v>
      </x:c>
      <x:c r="I86" s="382" t="str">
        <x:v>가끔 있다</x:v>
      </x:c>
      <x:c r="J86" s="382" t="n">
        <x:v>4</x:v>
      </x:c>
      <x:c r="K86" s="382"/>
      <x:c r="L86" s="382" t="str">
        <x:v>일부만 알고 있다</x:v>
      </x:c>
      <x:c r="M86" s="382" t="str">
        <x:v>기억에 의존, 카드·은행 앱 확인</x:v>
      </x:c>
      <x:c r="N86" s="382" t="str">
        <x:v>경험 없음</x:v>
      </x:c>
      <x:c r="O86" s="382" t="str">
        <x:v>있다</x:v>
      </x:c>
      <x:c r="P86" s="382"/>
      <x:c r="Q86" s="382" t="str">
        <x:v>무료체험 종료일</x:v>
      </x:c>
      <x:c r="R86" s="382" t="str">
        <x:v>2~3개</x:v>
      </x:c>
      <x:c r="S86" s="382" t="str">
        <x:v>매월 1/n로 나누어 송금</x:v>
      </x:c>
      <x:c r="T86" s="382" t="n">
        <x:v>2</x:v>
      </x:c>
      <x:c r="U86" s="382" t="str">
        <x:v>요금제·가격 변경 반영</x:v>
      </x:c>
      <x:c r="V86" s="382" t="str">
        <x:v>현재 어떤 상품을 이용 중인지 한눈에 보기 어려움</x:v>
      </x:c>
      <x:c r="W86" s="382" t="str">
        <x:v>가족·친구와 공유</x:v>
      </x:c>
      <x:c r="X86" s="382" t="str">
        <x:v>현재 이용 중인 전체 구독·멤버십, 이번 달 총 결제 예정금액, 변경·해지하기 적절한 시점</x:v>
      </x:c>
      <x:c r="Y86" s="382" t="str">
        <x:v>무료체험 종료 및 자동 갱신 전, 혜택 사용기간 종료 전</x:v>
      </x:c>
      <x:c r="Z86" s="382"/>
    </x:row>
    <x:row r="87" ht="42" customHeight="1">
      <x:c r="A87" s="400" t="n">
        <x:v>46255.98928603009</x:v>
      </x:c>
      <x:c r="B87" s="382" t="str">
        <x:v>50대 이상</x:v>
      </x:c>
      <x:c r="C87" s="382" t="str">
        <x:v>주부</x:v>
      </x:c>
      <x:c r="D87" s="382" t="str">
        <x:v>1~3개</x:v>
      </x:c>
      <x:c r="E87" s="382" t="str">
        <x:v>OTT (예: 넷플릭스 등), 생성형 AI (예: GPT 등), 배달 멤버십 (예: 배민클럽 등)</x:v>
      </x:c>
      <x:c r="F87" s="382" t="str">
        <x:v>1~5만원</x:v>
      </x:c>
      <x:c r="G87" s="382" t="n">
        <x:v>1</x:v>
      </x:c>
      <x:c r="H87" s="382" t="str">
        <x:v>자주 있다</x:v>
      </x:c>
      <x:c r="I87" s="382" t="str">
        <x:v>거의 없다</x:v>
      </x:c>
      <x:c r="J87" s="382" t="n">
        <x:v>5</x:v>
      </x:c>
      <x:c r="K87" s="382"/>
      <x:c r="L87" s="382" t="str">
        <x:v>모른다</x:v>
      </x:c>
      <x:c r="M87" s="382" t="str">
        <x:v>결제 문자·푸시 알림</x:v>
      </x:c>
      <x:c r="N87" s="382" t="str">
        <x:v>경험 없음</x:v>
      </x:c>
      <x:c r="O87" s="382" t="str">
        <x:v>없다</x:v>
      </x:c>
      <x:c r="P87" s="382" t="str">
        <x:v>직접 입력하기 귀찮음</x:v>
      </x:c>
      <x:c r="Q87" s="382"/>
      <x:c r="R87" s="382" t="str">
        <x:v>없음</x:v>
      </x:c>
      <x:c r="S87" s="382"/>
      <x:c r="T87" s="382"/>
      <x:c r="U87" s="382"/>
      <x:c r="V87" s="382" t="str">
        <x:v>현재 어떤 상품을 이용 중인지 한눈에 보기 어려움</x:v>
      </x:c>
      <x:c r="W87" s="382" t="str">
        <x:v>완전 해지</x:v>
      </x:c>
      <x:c r="X87" s="382" t="str">
        <x:v>이번 달 총 결제 예정금액</x:v>
      </x:c>
      <x:c r="Y87" s="382" t="str">
        <x:v>무료체험 종료 및 자동 갱신 전</x:v>
      </x:c>
      <x:c r="Z87" s="382"/>
    </x:row>
    <x:row r="88" ht="42" customHeight="1">
      <x:c r="A88" s="400" t="n">
        <x:v>46256.20871699074</x:v>
      </x:c>
      <x:c r="B88" s="382" t="str">
        <x:v>20대</x:v>
      </x:c>
      <x:c r="C88" s="382" t="str">
        <x:v>학생</x:v>
      </x:c>
      <x:c r="D88" s="382" t="str">
        <x:v>4~6개</x:v>
      </x:c>
      <x:c r="E88" s="382" t="str">
        <x:v>쇼핑 멤버십 (예 : 네이버+ 멤버십 등)</x:v>
      </x:c>
      <x:c r="F88" s="382" t="str">
        <x:v>1~5만원</x:v>
      </x:c>
      <x:c r="G88" s="382" t="n">
        <x:v>3</x:v>
      </x:c>
      <x:c r="H88" s="382" t="str">
        <x:v>자주 있다</x:v>
      </x:c>
      <x:c r="I88" s="382" t="str">
        <x:v>가끔 있다</x:v>
      </x:c>
      <x:c r="J88" s="382" t="n">
        <x:v>4</x:v>
      </x:c>
      <x:c r="K88" s="382"/>
      <x:c r="L88" s="382" t="str">
        <x:v>일부만 알고 있다</x:v>
      </x:c>
      <x:c r="M88" s="382" t="str">
        <x:v>기억에 의존</x:v>
      </x:c>
      <x:c r="N88" s="382" t="str">
        <x:v>할인 종료일</x:v>
      </x:c>
      <x:c r="O88" s="382" t="str">
        <x:v>있다</x:v>
      </x:c>
      <x:c r="P88" s="382"/>
      <x:c r="Q88" s="382" t="str">
        <x:v>할인 종료일</x:v>
      </x:c>
      <x:c r="R88" s="382" t="str">
        <x:v>1개</x:v>
      </x:c>
      <x:c r="S88" s="382" t="str">
        <x:v>비정기적으로 정산</x:v>
      </x:c>
      <x:c r="T88" s="382" t="n">
        <x:v>3</x:v>
      </x:c>
      <x:c r="U88" s="382" t="str">
        <x:v>공유 인원 변경</x:v>
      </x:c>
      <x:c r="V88" s="382" t="str">
        <x:v>혜택 적용 조건이 복잡함</x:v>
      </x:c>
      <x:c r="W88" s="382" t="str">
        <x:v>일시정지</x:v>
      </x:c>
      <x:c r="X88" s="382" t="str">
        <x:v>변경·해지하기 적절한 시점</x:v>
      </x:c>
      <x:c r="Y88" s="382" t="str">
        <x:v>가격 인상 적용 전</x:v>
      </x:c>
      <x:c r="Z88" s="382"/>
    </x:row>
    <x:row r="89" ht="42" customHeight="1">
      <x:c r="A89" s="400" t="n">
        <x:v>46256.47119305556</x:v>
      </x:c>
      <x:c r="B89" s="382" t="str">
        <x:v>20대</x:v>
      </x:c>
      <x:c r="C89" s="382" t="str">
        <x:v>학생</x:v>
      </x:c>
      <x:c r="D89" s="382" t="str">
        <x:v>4~6개</x:v>
      </x:c>
      <x:c r="E89" s="382" t="str">
        <x:v>OTT (예: 넷플릭스 등), 음악·전자책·콘텐츠 (예 : Melon 등), 클라우드·생산성 툴 (예: icloud / notion 등), 통신사 결합상품·구독 혜택</x:v>
      </x:c>
      <x:c r="F89" s="382" t="str">
        <x:v>1~5만원</x:v>
      </x:c>
      <x:c r="G89" s="382" t="n">
        <x:v>5</x:v>
      </x:c>
      <x:c r="H89" s="382" t="str">
        <x:v>가끔 있다</x:v>
      </x:c>
      <x:c r="I89" s="382" t="str">
        <x:v>자주있다</x:v>
      </x:c>
      <x:c r="J89" s="382" t="n">
        <x:v>4</x:v>
      </x:c>
      <x:c r="K89" s="382"/>
      <x:c r="L89" s="382" t="str">
        <x:v>일부만 알고 있다</x:v>
      </x:c>
      <x:c r="M89" s="382" t="str">
        <x:v>결제 문자·푸시 알림, 캘린더</x:v>
      </x:c>
      <x:c r="N89" s="382" t="str">
        <x:v>무료체험 종료일, 할인 종료일</x:v>
      </x:c>
      <x:c r="O89" s="382" t="str">
        <x:v>있다</x:v>
      </x:c>
      <x:c r="P89" s="382"/>
      <x:c r="Q89" s="382" t="str">
        <x:v>결제일</x:v>
      </x:c>
      <x:c r="R89" s="382" t="str">
        <x:v>2~3개</x:v>
      </x:c>
      <x:c r="S89" s="382" t="str">
        <x:v>한 명이 전액 부담</x:v>
      </x:c>
      <x:c r="T89" s="382" t="n">
        <x:v>1</x:v>
      </x:c>
      <x:c r="U89" s="382" t="str">
        <x:v>요금제·가격 변경 반영</x:v>
      </x:c>
      <x:c r="V89" s="382" t="str">
        <x:v>현재 어떤 상품을 이용 중인지 한눈에 보기 어려움, 매월 총 얼마를 지출하는지 파악하기 어려움</x:v>
      </x:c>
      <x:c r="W89" s="382" t="str">
        <x:v>더 저렴한 요금제로 변경</x:v>
      </x:c>
      <x:c r="X89" s="382" t="str">
        <x:v>현재 이용 중인 전체 구독·멤버십, 이번 달 총 결제 예정금액, 내가 현재 보유한 전체 혜택, 변경·해지하기 적절한 시점</x:v>
      </x:c>
      <x:c r="Y89" s="382" t="str">
        <x:v>무료체험 종료 및 자동 갱신 전, 혜택 사용기간 종료 전</x:v>
      </x:c>
      <x:c r="Z89" s="382"/>
    </x:row>
    <x:row r="90" ht="42" customHeight="1">
      <x:c r="A90" s="400" t="n">
        <x:v>46256.555571018514</x:v>
      </x:c>
      <x:c r="B90" s="382" t="str">
        <x:v>50대 이상</x:v>
      </x:c>
      <x:c r="C90" s="382" t="str">
        <x:v>직장인</x:v>
      </x:c>
      <x:c r="D90" s="382" t="str">
        <x:v>1~3개</x:v>
      </x:c>
      <x:c r="E90" s="382" t="str">
        <x:v>OTT (예: 넷플릭스 등), 통신사 결합상품·구독 혜택</x:v>
      </x:c>
      <x:c r="F90" s="382" t="str">
        <x:v>1만원 미만</x:v>
      </x:c>
      <x:c r="G90" s="382" t="n">
        <x:v>4</x:v>
      </x:c>
      <x:c r="H90" s="382" t="str">
        <x:v>가끔 있다</x:v>
      </x:c>
      <x:c r="I90" s="382" t="str">
        <x:v>자주있다</x:v>
      </x:c>
      <x:c r="J90" s="382" t="n">
        <x:v>3</x:v>
      </x:c>
      <x:c r="K90" s="382"/>
      <x:c r="L90" s="382" t="str">
        <x:v>정확히 알고 있다</x:v>
      </x:c>
      <x:c r="M90" s="382" t="str">
        <x:v>결제 문자·푸시 알림, 캘린더</x:v>
      </x:c>
      <x:c r="N90" s="382" t="str">
        <x:v>자동 갱신일, 할인 종료일</x:v>
      </x:c>
      <x:c r="O90" s="382" t="str">
        <x:v>있다</x:v>
      </x:c>
      <x:c r="P90" s="382"/>
      <x:c r="Q90" s="382" t="str">
        <x:v>모두</x:v>
      </x:c>
      <x:c r="R90" s="382" t="str">
        <x:v>2~3개</x:v>
      </x:c>
      <x:c r="S90" s="382" t="str">
        <x:v>한 명이 전액 부담</x:v>
      </x:c>
      <x:c r="T90" s="382" t="n">
        <x:v>1</x:v>
      </x:c>
      <x:c r="U90" s="382" t="str">
        <x:v>없다</x:v>
      </x:c>
      <x:c r="V90" s="382" t="str">
        <x:v>특별히 불편하지 않음</x:v>
      </x:c>
      <x:c r="W90" s="382" t="str">
        <x:v>더 저렴한 요금제로 변경</x:v>
      </x:c>
      <x:c r="X90" s="382" t="str">
        <x:v>현재 이용 중인 전체 구독·멤버십, 이번 달 총 결제 예정금액, 내가 현재 보유한 전체 혜택</x:v>
      </x:c>
      <x:c r="Y90" s="382" t="str">
        <x:v>무료체험 종료 및 자동 갱신 전, 혜택 사용기간 종료 전, 통신·인터넷 약정 종료 전</x:v>
      </x:c>
      <x:c r="Z90" s="382"/>
    </x:row>
    <x:row r="91" ht="42" customHeight="1">
      <x:c r="A91" s="400" t="n">
        <x:v>46256.59882299769</x:v>
      </x:c>
      <x:c r="B91" s="382" t="str">
        <x:v>30대</x:v>
      </x:c>
      <x:c r="C91" s="382" t="str">
        <x:v>프리랜서·자영업</x:v>
      </x:c>
      <x:c r="D91" s="382" t="str">
        <x:v>1~3개</x:v>
      </x:c>
      <x:c r="E91" s="382" t="str">
        <x:v>생성형 AI (예: GPT 등), 쇼핑 멤버십 (예 : 네이버+ 멤버십 등), 통신사 결합상품·구독 혜택</x:v>
      </x:c>
      <x:c r="F91" s="382" t="str">
        <x:v>5~10만원 이상</x:v>
      </x:c>
      <x:c r="G91" s="382" t="n">
        <x:v>4</x:v>
      </x:c>
      <x:c r="H91" s="382" t="str">
        <x:v>없다</x:v>
      </x:c>
      <x:c r="I91" s="382" t="str">
        <x:v>자주있다</x:v>
      </x:c>
      <x:c r="J91" s="382" t="n">
        <x:v>5</x:v>
      </x:c>
      <x:c r="K91" s="382"/>
      <x:c r="L91" s="382" t="str">
        <x:v>정확히 알고 있다</x:v>
      </x:c>
      <x:c r="M91" s="382" t="str">
        <x:v>결제 문자·푸시 알림</x:v>
      </x:c>
      <x:c r="N91" s="382" t="str">
        <x:v>경험 없음</x:v>
      </x:c>
      <x:c r="O91" s="382" t="str">
        <x:v>없다</x:v>
      </x:c>
      <x:c r="P91" s="382" t="str">
        <x:v>필요성을 못 느낌</x:v>
      </x:c>
      <x:c r="Q91" s="382"/>
      <x:c r="R91" s="382" t="str">
        <x:v>1개</x:v>
      </x:c>
      <x:c r="S91" s="382" t="str">
        <x:v>한 명이 전액 부담</x:v>
      </x:c>
      <x:c r="T91" s="382" t="n">
        <x:v>5</x:v>
      </x:c>
      <x:c r="U91" s="382" t="str">
        <x:v>정산금액 계산</x:v>
      </x:c>
      <x:c r="V91" s="382" t="str">
        <x:v>매월 총 얼마를 지출하는지 파악하기 어려움</x:v>
      </x:c>
      <x:c r="W91" s="382" t="str">
        <x:v>완전 해지</x:v>
      </x:c>
      <x:c r="X91" s="382" t="str">
        <x:v>현재 이용 중인 전체 구독·멤버십, 이번 달 총 결제 예정금액, 기존 상품과 중복 가능성이 있는 구독·혜택</x:v>
      </x:c>
      <x:c r="Y91" s="382" t="str">
        <x:v>무료체험 종료 및 자동 갱신 전</x:v>
      </x:c>
      <x:c r="Z91" s="382"/>
    </x:row>
    <x:row r="92" ht="42" customHeight="1">
      <x:c r="A92" s="400" t="n">
        <x:v>46256.684841712966</x:v>
      </x:c>
      <x:c r="B92" s="382" t="str">
        <x:v>20대</x:v>
      </x:c>
      <x:c r="C92" s="382" t="str">
        <x:v>직장인</x:v>
      </x:c>
      <x:c r="D92" s="382" t="str">
        <x:v>4~6개</x:v>
      </x:c>
      <x:c r="E92" s="382" t="str">
        <x:v>OTT (예: 넷플릭스 등), 음악·전자책·콘텐츠 (예 : Melon 등), SNS구독(카카오톡이모티콘플러스),보정어플</x:v>
      </x:c>
      <x:c r="F92" s="382" t="str">
        <x:v>1~5만원</x:v>
      </x:c>
      <x:c r="G92" s="382" t="n">
        <x:v>1</x:v>
      </x:c>
      <x:c r="H92" s="382" t="str">
        <x:v>기억나지 않는다</x:v>
      </x:c>
      <x:c r="I92" s="382" t="str">
        <x:v>전혀 없다</x:v>
      </x:c>
      <x:c r="J92" s="382" t="n">
        <x:v>4</x:v>
      </x:c>
      <x:c r="K92" s="382"/>
      <x:c r="L92" s="382" t="str">
        <x:v>일부만 알고 있다</x:v>
      </x:c>
      <x:c r="M92" s="382" t="str">
        <x:v>결제 문자·푸시 알림</x:v>
      </x:c>
      <x:c r="N92" s="382" t="str">
        <x:v>무료체험 종료일</x:v>
      </x:c>
      <x:c r="O92" s="382" t="str">
        <x:v>없다</x:v>
      </x:c>
      <x:c r="P92" s="382" t="str">
        <x:v>직접 입력하기 귀찮음</x:v>
      </x:c>
      <x:c r="Q92" s="382"/>
      <x:c r="R92" s="382" t="str">
        <x:v>2~3개</x:v>
      </x:c>
      <x:c r="S92" s="382" t="str">
        <x:v>한 명이 전액 부담</x:v>
      </x:c>
      <x:c r="T92" s="382" t="n">
        <x:v>1</x:v>
      </x:c>
      <x:c r="U92" s="382" t="str">
        <x:v>요금제·가격 변경 반영</x:v>
      </x:c>
      <x:c r="V92" s="382" t="str">
        <x:v>매월 총 얼마를 지출하는지 파악하기 어려움, 혜택 적용 조건이 복잡함, 기존 상품과 중복되는 구독·혜택을 확인하기 어려움</x:v>
      </x:c>
      <x:c r="W92" s="382" t="str">
        <x:v>더 저렴한 요금제로 변경</x:v>
      </x:c>
      <x:c r="X92" s="382" t="str">
        <x:v>현재 이용 중인 전체 구독·멤버십, 이번 달 총 결제 예정금액, 더 유리한 이용방법</x:v>
      </x:c>
      <x:c r="Y92" s="382" t="str">
        <x:v>무료체험 종료 및 자동 갱신 전, 혜택 사용기간 종료 전, 가격 인상 적용 전</x:v>
      </x:c>
      <x:c r="Z92" s="382"/>
    </x:row>
    <x:row r="93" ht="42" customHeight="1">
      <x:c r="A93" s="400" t="n">
        <x:v>46256.69598319444</x:v>
      </x:c>
      <x:c r="B93" s="382" t="str">
        <x:v>20대</x:v>
      </x:c>
      <x:c r="C93" s="382" t="str">
        <x:v>학생</x:v>
      </x:c>
      <x:c r="D93" s="382" t="str">
        <x:v>7개 이상</x:v>
      </x:c>
      <x:c r="E93" s="382" t="str">
        <x:v>OTT (예: 넷플릭스 등), 생성형 AI (예: GPT 등), 음악·전자책·콘텐츠 (예 : Melon 등), 쇼핑 멤버십 (예 : 네이버+ 멤버십 등)</x:v>
      </x:c>
      <x:c r="F93" s="382" t="str">
        <x:v>잘 모르겠다</x:v>
      </x:c>
      <x:c r="G93" s="382" t="n">
        <x:v>2</x:v>
      </x:c>
      <x:c r="H93" s="382" t="str">
        <x:v>자주 있다</x:v>
      </x:c>
      <x:c r="I93" s="382" t="str">
        <x:v>거의 없다</x:v>
      </x:c>
      <x:c r="J93" s="382" t="n">
        <x:v>5</x:v>
      </x:c>
      <x:c r="K93" s="382"/>
      <x:c r="L93" s="382" t="str">
        <x:v>모른다</x:v>
      </x:c>
      <x:c r="M93" s="382" t="str">
        <x:v>따로 관리하지 않음</x:v>
      </x:c>
      <x:c r="N93" s="382" t="str">
        <x:v>무료체험 종료일</x:v>
      </x:c>
      <x:c r="O93" s="382" t="str">
        <x:v>있다</x:v>
      </x:c>
      <x:c r="P93" s="382"/>
      <x:c r="Q93" s="382" t="str">
        <x:v>무료체험 종료일</x:v>
      </x:c>
      <x:c r="R93" s="382" t="str">
        <x:v>2~3개</x:v>
      </x:c>
      <x:c r="S93" s="382" t="str">
        <x:v>한 명이 전액 부담</x:v>
      </x:c>
      <x:c r="T93" s="382" t="n">
        <x:v>1</x:v>
      </x:c>
      <x:c r="U93" s="382" t="str">
        <x:v>정산 시점 기억</x:v>
      </x:c>
      <x:c r="V93" s="382" t="str">
        <x:v>특별히 불편하지 않음</x:v>
      </x:c>
      <x:c r="W93" s="382" t="str">
        <x:v>일시정지</x:v>
      </x:c>
      <x:c r="X93" s="382" t="str">
        <x:v>현재 이용 중인 전체 구독·멤버십, 이번 달 총 결제 예정금액, 더 유리한 이용방법</x:v>
      </x:c>
      <x:c r="Y93" s="382" t="str">
        <x:v>무료체험 종료 및 자동 갱신 전, 가격 인상 적용 전</x:v>
      </x:c>
      <x:c r="Z93" s="382"/>
    </x:row>
    <x:row r="94" ht="42" customHeight="1">
      <x:c r="A94" s="400" t="n">
        <x:v>46256.85034899306</x:v>
      </x:c>
      <x:c r="B94" s="382" t="str">
        <x:v>30대</x:v>
      </x:c>
      <x:c r="C94" s="382" t="str">
        <x:v>기타 (무직 포함)</x:v>
      </x:c>
      <x:c r="D94" s="382" t="str">
        <x:v>1~3개</x:v>
      </x:c>
      <x:c r="E94" s="382" t="str">
        <x:v>생성형 AI (예: GPT 등), 음악·전자책·콘텐츠 (예 : Melon 등), 클라우드·생산성 툴 (예: icloud / notion 등)</x:v>
      </x:c>
      <x:c r="F94" s="382" t="str">
        <x:v>1~5만원</x:v>
      </x:c>
      <x:c r="G94" s="382" t="n">
        <x:v>3</x:v>
      </x:c>
      <x:c r="H94" s="382" t="str">
        <x:v>가끔 있다</x:v>
      </x:c>
      <x:c r="I94" s="382" t="str">
        <x:v>가끔 있다</x:v>
      </x:c>
      <x:c r="J94" s="382" t="n">
        <x:v>4</x:v>
      </x:c>
      <x:c r="K94" s="382"/>
      <x:c r="L94" s="382" t="str">
        <x:v>모른다</x:v>
      </x:c>
      <x:c r="M94" s="382" t="str">
        <x:v>따로 관리하지 않음, 결제 문자·푸시 알림</x:v>
      </x:c>
      <x:c r="N94" s="382" t="str">
        <x:v>무료체험 종료일, 자동 갱신일, 가격 인상 적용일</x:v>
      </x:c>
      <x:c r="O94" s="382" t="str">
        <x:v>있다</x:v>
      </x:c>
      <x:c r="P94" s="382"/>
      <x:c r="Q94" s="382" t="str">
        <x:v>토스에 구독하고 있는 상품을 등록했어요</x:v>
      </x:c>
      <x:c r="R94" s="382" t="str">
        <x:v>1개</x:v>
      </x:c>
      <x:c r="S94" s="382" t="str">
        <x:v>한 명이 전액 부담</x:v>
      </x:c>
      <x:c r="T94" s="382" t="n">
        <x:v>2</x:v>
      </x:c>
      <x:c r="U94" s="382" t="str">
        <x:v>X</x:v>
      </x:c>
      <x:c r="V94" s="382" t="str">
        <x:v>특별히 불편하지 않음</x:v>
      </x:c>
      <x:c r="W94" s="382" t="str">
        <x:v>그냥 유지</x:v>
      </x:c>
      <x:c r="X94" s="382" t="str">
        <x:v>현재 이용 중인 전체 구독·멤버십, 이번 달 총 결제 예정금액, 내가 현재 보유한 전체 혜택, 기존 상품과 중복 가능성이 있는 구독·혜택, 더 유리한 이용방법, 변경·해지하기 적절한 시점, 공동 구독 상품 및 정산정보</x:v>
      </x:c>
      <x:c r="Y94" s="382" t="str">
        <x:v>무료체험 종료 및 자동 갱신 전, 혜택 사용기간 종료 전, 통신·인터넷 약정 종료 전, 가격 인상 적용 전, 보유 혜택과 별도 구독이 겹칠 가능성이 있을 때, 공동 구독 정산 시점</x:v>
      </x:c>
      <x:c r="Z94" s="382"/>
    </x:row>
    <x:row r="95" ht="42" customHeight="1">
      <x:c r="A95" s="400" t="n">
        <x:v>46256.92179984954</x:v>
      </x:c>
      <x:c r="B95" s="382" t="str">
        <x:v>20대</x:v>
      </x:c>
      <x:c r="C95" s="382" t="str">
        <x:v>학생</x:v>
      </x:c>
      <x:c r="D95" s="382" t="str">
        <x:v>4~6개</x:v>
      </x:c>
      <x:c r="E95" s="382" t="str">
        <x:v>OTT (예: 넷플릭스 등), 생성형 AI (예: GPT 등), 음악·전자책·콘텐츠 (예 : Melon 등), 쇼핑 멤버십 (예 : 네이버+ 멤버십 등)</x:v>
      </x:c>
      <x:c r="F95" s="382" t="str">
        <x:v>5~10만원 이상</x:v>
      </x:c>
      <x:c r="G95" s="382" t="n">
        <x:v>4</x:v>
      </x:c>
      <x:c r="H95" s="382" t="str">
        <x:v>가끔 있다</x:v>
      </x:c>
      <x:c r="I95" s="382" t="str">
        <x:v>자주있다</x:v>
      </x:c>
      <x:c r="J95" s="382" t="n">
        <x:v>5</x:v>
      </x:c>
      <x:c r="K95" s="382"/>
      <x:c r="L95" s="382" t="str">
        <x:v>일부만 알고 있다</x:v>
      </x:c>
      <x:c r="M95" s="382" t="str">
        <x:v>결제 문자·푸시 알림, 각 서비스 앱 확인</x:v>
      </x:c>
      <x:c r="N95" s="382" t="str">
        <x:v>자동 갱신일</x:v>
      </x:c>
      <x:c r="O95" s="382" t="str">
        <x:v>없다</x:v>
      </x:c>
      <x:c r="P95" s="382" t="str">
        <x:v>직접 입력하기 귀찮음</x:v>
      </x:c>
      <x:c r="Q95" s="382"/>
      <x:c r="R95" s="382" t="str">
        <x:v>2~3개</x:v>
      </x:c>
      <x:c r="S95" s="382" t="str">
        <x:v>매월 1/n로 나누어 송금</x:v>
      </x:c>
      <x:c r="T95" s="382" t="n">
        <x:v>4</x:v>
      </x:c>
      <x:c r="U95" s="382" t="str">
        <x:v>정산 시점 기억</x:v>
      </x:c>
      <x:c r="V95" s="382" t="str">
        <x:v>현재 어떤 상품을 이용 중인지 한눈에 보기 어려움, 매월 총 얼마를 지출하는지 파악하기 어려움, 결제일·갱신일을 관리하기 어려움</x:v>
      </x:c>
      <x:c r="W95" s="382" t="str">
        <x:v>결합·할인상품으로 변경</x:v>
      </x:c>
      <x:c r="X95" s="382" t="str">
        <x:v>현재 이용 중인 전체 구독·멤버십, 이번 달 총 결제 예정금액</x:v>
      </x:c>
      <x:c r="Y95" s="382" t="str">
        <x:v>무료체험 종료 및 자동 갱신 전, 공동 구독 정산 시점</x:v>
      </x:c>
      <x:c r="Z95" s="382"/>
    </x:row>
    <x:row r="96" ht="42" customHeight="1">
      <x:c r="A96" s="400" t="n">
        <x:v>46257.02162155093</x:v>
      </x:c>
      <x:c r="B96" s="382" t="str">
        <x:v>30대</x:v>
      </x:c>
      <x:c r="C96" s="382" t="str">
        <x:v>기타 (무직 포함)</x:v>
      </x:c>
      <x:c r="D96" s="382" t="str">
        <x:v>4~6개</x:v>
      </x:c>
      <x:c r="E96" s="382" t="str">
        <x:v>OTT (예: 넷플릭스 등), 생성형 AI (예: GPT 등), 음악·전자책·콘텐츠 (예 : Melon 등), 통신사 결합상품·구독 혜택</x:v>
      </x:c>
      <x:c r="F96" s="382" t="str">
        <x:v>5~10만원 이상</x:v>
      </x:c>
      <x:c r="G96" s="382" t="n">
        <x:v>4</x:v>
      </x:c>
      <x:c r="H96" s="382" t="str">
        <x:v>가끔 있다</x:v>
      </x:c>
      <x:c r="I96" s="382" t="str">
        <x:v>자주있다</x:v>
      </x:c>
      <x:c r="J96" s="382" t="n">
        <x:v>5</x:v>
      </x:c>
      <x:c r="K96" s="382"/>
      <x:c r="L96" s="382" t="str">
        <x:v>일부만 알고 있다</x:v>
      </x:c>
      <x:c r="M96" s="382" t="str">
        <x:v>기억에 의존, 결제 문자·푸시 알림, 각 서비스 앱 확인, 카드·은행 앱 확인</x:v>
      </x:c>
      <x:c r="N96" s="382" t="str">
        <x:v>무료체험 종료일</x:v>
      </x:c>
      <x:c r="O96" s="382" t="str">
        <x:v>있다</x:v>
      </x:c>
      <x:c r="P96" s="382"/>
      <x:c r="Q96" s="382" t="str">
        <x:v>결제일</x:v>
      </x:c>
      <x:c r="R96" s="382" t="str">
        <x:v>1개</x:v>
      </x:c>
      <x:c r="S96" s="382" t="str">
        <x:v>한 명이 전액 부담</x:v>
      </x:c>
      <x:c r="T96" s="382" t="n">
        <x:v>4</x:v>
      </x:c>
      <x:c r="U96" s="382" t="str">
        <x:v>정산금액 계산</x:v>
      </x:c>
      <x:c r="V96" s="382" t="str">
        <x:v>현재 어떤 상품을 이용 중인지 한눈에 보기 어려움, 매월 총 얼마를 지출하는지 파악하기 어려움, 혜택 적용 조건이 복잡함, 기존 상품과 중복되는 구독·혜택을 확인하기 어려움, 여러 앱·사이트를 확인해야 해서 번거로움</x:v>
      </x:c>
      <x:c r="W96" s="382" t="str">
        <x:v>완전 해지</x:v>
      </x:c>
      <x:c r="X96" s="382" t="str">
        <x:v>현재 이용 중인 전체 구독·멤버십, 내가 현재 보유한 전체 혜택, 기존 상품과 중복 가능성이 있는 구독·혜택, 더 유리한 이용방법</x:v>
      </x:c>
      <x:c r="Y96" s="382" t="str">
        <x:v>무료체험 종료 및 자동 갱신 전, 가격 인상 적용 전, 보유 혜택과 별도 구독이 겹칠 가능성이 있을 때</x:v>
      </x:c>
      <x:c r="Z96" s="382"/>
    </x:row>
    <x:row r="97" ht="42" customHeight="1">
      <x:c r="A97" s="400" t="n">
        <x:v>46257.70180684028</x:v>
      </x:c>
      <x:c r="B97" s="382" t="str">
        <x:v>40대</x:v>
      </x:c>
      <x:c r="C97" s="382" t="str">
        <x:v>주부</x:v>
      </x:c>
      <x:c r="D97" s="382" t="str">
        <x:v>1~3개</x:v>
      </x:c>
      <x:c r="E97" s="382" t="str">
        <x:v>OTT (예: 넷플릭스 등), 음악·전자책·콘텐츠 (예 : Melon 등), 쇼핑 멤버십 (예 : 네이버+ 멤버십 등), 배달 멤버십 (예: 배민클럽 등), 통신사 결합상품·구독 혜택</x:v>
      </x:c>
      <x:c r="F97" s="382" t="str">
        <x:v>5~10만원 이상</x:v>
      </x:c>
      <x:c r="G97" s="382" t="n">
        <x:v>3</x:v>
      </x:c>
      <x:c r="H97" s="382" t="str">
        <x:v>자주 있다</x:v>
      </x:c>
      <x:c r="I97" s="382" t="str">
        <x:v>가끔 있다</x:v>
      </x:c>
      <x:c r="J97" s="382" t="n">
        <x:v>3</x:v>
      </x:c>
      <x:c r="K97" s="382"/>
      <x:c r="L97" s="382" t="str">
        <x:v>일부만 알고 있다</x:v>
      </x:c>
      <x:c r="M97" s="382" t="str">
        <x:v>기억에 의존, 결제 문자·푸시 알림</x:v>
      </x:c>
      <x:c r="N97" s="382" t="str">
        <x:v>무료체험 종료일, 자동 갱신일</x:v>
      </x:c>
      <x:c r="O97" s="382" t="str">
        <x:v>없다</x:v>
      </x:c>
      <x:c r="P97" s="382" t="str">
        <x:v>직접 입력하기 귀찮음</x:v>
      </x:c>
      <x:c r="Q97" s="382"/>
      <x:c r="R97" s="382" t="str">
        <x:v>2~3개</x:v>
      </x:c>
      <x:c r="S97" s="382" t="str">
        <x:v>한 명이 전액 부담</x:v>
      </x:c>
      <x:c r="T97" s="382" t="n">
        <x:v>1</x:v>
      </x:c>
      <x:c r="U97" s="382" t="str">
        <x:v>공유 인원 변경</x:v>
      </x:c>
      <x:c r="V97" s="382" t="str">
        <x:v>현재 어떤 상품을 이용 중인지 한눈에 보기 어려움, 매월 총 얼마를 지출하는지 파악하기 어려움, 공동 구독 정산이 번거로움</x:v>
      </x:c>
      <x:c r="W97" s="382" t="str">
        <x:v>완전 해지</x:v>
      </x:c>
      <x:c r="X97" s="382" t="str">
        <x:v>현재 이용 중인 전체 구독·멤버십</x:v>
      </x:c>
      <x:c r="Y97" s="382" t="str">
        <x:v>보유 혜택과 별도 구독이 겹칠 가능성이 있을 때</x:v>
      </x:c>
      <x:c r="Z97" s="382" t="str">
        <x:v>내가 낸 결제 들 모아서 한번에 월 얼마  혜택  한눈이.볼수잇게 자동정리 잇엇으면 좋겟네요</x:v>
      </x:c>
    </x:row>
    <x:row r="98" ht="42" customHeight="1">
      <x:c r="A98" s="400" t="n">
        <x:v>46257.71359965278</x:v>
      </x:c>
      <x:c r="B98" s="382" t="str">
        <x:v>50대 이상</x:v>
      </x:c>
      <x:c r="C98" s="382" t="str">
        <x:v>주부</x:v>
      </x:c>
      <x:c r="D98" s="382" t="str">
        <x:v>7개 이상</x:v>
      </x:c>
      <x:c r="E98" s="382" t="str">
        <x:v>OTT (예: 넷플릭스 등), 생성형 AI (예: GPT 등), 음악·전자책·콘텐츠 (예 : Melon 등), 쇼핑 멤버십 (예 : 네이버+ 멤버십 등), 배달 멤버십 (예: 배민클럽 등), 통신사 결합상품·구독 혜택</x:v>
      </x:c>
      <x:c r="F98" s="382" t="str">
        <x:v>5~10만원 이상</x:v>
      </x:c>
      <x:c r="G98" s="382" t="n">
        <x:v>2</x:v>
      </x:c>
      <x:c r="H98" s="382" t="str">
        <x:v>자주 있다</x:v>
      </x:c>
      <x:c r="I98" s="382" t="str">
        <x:v>거의 없다</x:v>
      </x:c>
      <x:c r="J98" s="382" t="n">
        <x:v>4</x:v>
      </x:c>
      <x:c r="K98" s="382"/>
      <x:c r="L98" s="382" t="str">
        <x:v>모른다</x:v>
      </x:c>
      <x:c r="M98" s="382" t="str">
        <x:v>따로 관리하지 않음, 결제 문자·푸시 알림</x:v>
      </x:c>
      <x:c r="N98" s="382" t="str">
        <x:v>무료체험 종료일, 자동 갱신일</x:v>
      </x:c>
      <x:c r="O98" s="382" t="str">
        <x:v>없다</x:v>
      </x:c>
      <x:c r="P98" s="382" t="str">
        <x:v>기존 알림으로 충분함</x:v>
      </x:c>
      <x:c r="Q98" s="382"/>
      <x:c r="R98" s="382" t="str">
        <x:v>없음</x:v>
      </x:c>
      <x:c r="S98" s="382"/>
      <x:c r="T98" s="382"/>
      <x:c r="U98" s="382"/>
      <x:c r="V98" s="382" t="str">
        <x:v>현재 어떤 상품을 이용 중인지 한눈에 보기 어려움, 매월 총 얼마를 지출하는지 파악하기 어려움, 혜택 적용 조건이 복잡함, 결제일·갱신일을 관리하기 어려움, 기존 상품과 중복되는 구독·혜택을 확인하기 어려움, 여러 앱·사이트를 확인해야 해서 번거로움</x:v>
      </x:c>
      <x:c r="W98" s="382" t="str">
        <x:v>완전 해지</x:v>
      </x:c>
      <x:c r="X98" s="382" t="str">
        <x:v>현재 이용 중인 전체 구독·멤버십, 이번 달 총 결제 예정금액</x:v>
      </x:c>
      <x:c r="Y98" s="382" t="str">
        <x:v>무료체험 종료 및 자동 갱신 전</x:v>
      </x:c>
      <x:c r="Z98" s="382"/>
    </x:row>
    <x:row r="99" ht="42" customHeight="1">
      <x:c r="A99" s="400" t="n">
        <x:v>46258.42998402778</x:v>
      </x:c>
      <x:c r="B99" s="382" t="str">
        <x:v>20대</x:v>
      </x:c>
      <x:c r="C99" s="382" t="str">
        <x:v>기타 (무직 포함)</x:v>
      </x:c>
      <x:c r="D99" s="382" t="str">
        <x:v>1~3개</x:v>
      </x:c>
      <x:c r="E99" s="382" t="str">
        <x:v>OTT (예: 넷플릭스 등), 음악·전자책·콘텐츠 (예 : Melon 등), 배달 멤버십 (예: 배민클럽 등)</x:v>
      </x:c>
      <x:c r="F99" s="382" t="str">
        <x:v>1~5만원</x:v>
      </x:c>
      <x:c r="G99" s="382" t="n">
        <x:v>2</x:v>
      </x:c>
      <x:c r="H99" s="382" t="str">
        <x:v>가끔 있다</x:v>
      </x:c>
      <x:c r="I99" s="382" t="str">
        <x:v>자주있다</x:v>
      </x:c>
      <x:c r="J99" s="382" t="n">
        <x:v>5</x:v>
      </x:c>
      <x:c r="K99" s="382"/>
      <x:c r="L99" s="382" t="str">
        <x:v>모른다</x:v>
      </x:c>
      <x:c r="M99" s="382" t="str">
        <x:v>따로 관리하지 않음, 결제 문자·푸시 알림</x:v>
      </x:c>
      <x:c r="N99" s="382" t="str">
        <x:v>가격 인상 적용일</x:v>
      </x:c>
      <x:c r="O99" s="382" t="str">
        <x:v>없다</x:v>
      </x:c>
      <x:c r="P99" s="382" t="str">
        <x:v>직접 입력하기 귀찮음</x:v>
      </x:c>
      <x:c r="Q99" s="382"/>
      <x:c r="R99" s="382" t="str">
        <x:v>없음</x:v>
      </x:c>
      <x:c r="S99" s="382"/>
      <x:c r="T99" s="382"/>
      <x:c r="U99" s="382"/>
      <x:c r="V99" s="382" t="str">
        <x:v>여러 앱·사이트를 확인해야 해서 번거로움</x:v>
      </x:c>
      <x:c r="W99" s="382" t="str">
        <x:v>완전 해지</x:v>
      </x:c>
      <x:c r="X99" s="382" t="str">
        <x:v>더 유리한 이용방법, 공동 구독 상품 및 정산정보</x:v>
      </x:c>
      <x:c r="Y99" s="382" t="str">
        <x:v>무료체험 종료 및 자동 갱신 전, 보유 혜택과 별도 구독이 겹칠 가능성이 있을 때</x:v>
      </x:c>
      <x:c r="Z99" s="382"/>
    </x:row>
    <x:row r="100" ht="42" customHeight="1">
      <x:c r="A100" s="400" t="n">
        <x:v>46258.43037454861</x:v>
      </x:c>
      <x:c r="B100" s="382" t="str">
        <x:v>20대</x:v>
      </x:c>
      <x:c r="C100" s="382" t="str">
        <x:v>기타 (무직 포함)</x:v>
      </x:c>
      <x:c r="D100" s="382" t="str">
        <x:v>4~6개</x:v>
      </x:c>
      <x:c r="E100" s="382" t="str">
        <x:v>OTT (예: 넷플릭스 등), 배달 멤버십 (예: 배민클럽 등)</x:v>
      </x:c>
      <x:c r="F100" s="382" t="str">
        <x:v>1~5만원</x:v>
      </x:c>
      <x:c r="G100" s="382" t="n">
        <x:v>2</x:v>
      </x:c>
      <x:c r="H100" s="382" t="str">
        <x:v>기억나지 않는다</x:v>
      </x:c>
      <x:c r="I100" s="382" t="str">
        <x:v>자주있다</x:v>
      </x:c>
      <x:c r="J100" s="382" t="n">
        <x:v>5</x:v>
      </x:c>
      <x:c r="K100" s="382"/>
      <x:c r="L100" s="382" t="str">
        <x:v>일부만 알고 있다</x:v>
      </x:c>
      <x:c r="M100" s="382" t="str">
        <x:v>따로 관리하지 않음, 기억에 의존</x:v>
      </x:c>
      <x:c r="N100" s="382" t="str">
        <x:v>무료체험 종료일, 자동 갱신일</x:v>
      </x:c>
      <x:c r="O100" s="382" t="str">
        <x:v>없다</x:v>
      </x:c>
      <x:c r="P100" s="382" t="str">
        <x:v>직접 입력하기 귀찮음</x:v>
      </x:c>
      <x:c r="Q100" s="382"/>
      <x:c r="R100" s="382" t="str">
        <x:v>2~3개</x:v>
      </x:c>
      <x:c r="S100" s="382" t="str">
        <x:v>매월 1/n로 나누어 송금</x:v>
      </x:c>
      <x:c r="T100" s="382" t="n">
        <x:v>3</x:v>
      </x:c>
      <x:c r="U100" s="382" t="str">
        <x:v>공유 인원 변경</x:v>
      </x:c>
      <x:c r="V100" s="382" t="str">
        <x:v>현재 어떤 상품을 이용 중인지 한눈에 보기 어려움, 매월 총 얼마를 지출하는지 파악하기 어려움</x:v>
      </x:c>
      <x:c r="W100" s="382" t="str">
        <x:v>완전 해지</x:v>
      </x:c>
      <x:c r="X100" s="382" t="str">
        <x:v>현재 이용 중인 전체 구독·멤버십, 이번 달 총 결제 예정금액</x:v>
      </x:c>
      <x:c r="Y100" s="382" t="str">
        <x:v>혜택 사용기간 종료 전</x:v>
      </x:c>
      <x:c r="Z100" s="382"/>
    </x:row>
    <x:row r="101" ht="42" customHeight="1">
      <x:c r="A101" s="400" t="n">
        <x:v>46258.43210525463</x:v>
      </x:c>
      <x:c r="B101" s="382" t="str">
        <x:v>20대</x:v>
      </x:c>
      <x:c r="C101" s="382" t="str">
        <x:v>기타 (무직 포함)</x:v>
      </x:c>
      <x:c r="D101" s="382" t="str">
        <x:v>4~6개</x:v>
      </x:c>
      <x:c r="E101" s="382" t="str">
        <x:v>OTT (예: 넷플릭스 등), 생성형 AI (예: GPT 등), 쇼핑 멤버십 (예 : 네이버+ 멤버십 등), 배달 멤버십 (예: 배민클럽 등), 게임 패스 (예 : Xbox gamepass 등)</x:v>
      </x:c>
      <x:c r="F101" s="382" t="str">
        <x:v>1~5만원</x:v>
      </x:c>
      <x:c r="G101" s="382" t="n">
        <x:v>3</x:v>
      </x:c>
      <x:c r="H101" s="382" t="str">
        <x:v>가끔 있다</x:v>
      </x:c>
      <x:c r="I101" s="382" t="str">
        <x:v>가끔 있다</x:v>
      </x:c>
      <x:c r="J101" s="382" t="n">
        <x:v>4</x:v>
      </x:c>
      <x:c r="K101" s="382"/>
      <x:c r="L101" s="382" t="str">
        <x:v>일부만 알고 있다</x:v>
      </x:c>
      <x:c r="M101" s="382" t="str">
        <x:v>결제 문자·푸시 알림, 카드·은행 앱 확인, 메모·노션·엑셀</x:v>
      </x:c>
      <x:c r="N101" s="382" t="str">
        <x:v>무료체험 종료일, 자동 갱신일, 가격 인상 적용일</x:v>
      </x:c>
      <x:c r="O101" s="382" t="str">
        <x:v>있다</x:v>
      </x:c>
      <x:c r="P101" s="382"/>
      <x:c r="Q101" s="382" t="str">
        <x:v>갱신일</x:v>
      </x:c>
      <x:c r="R101" s="382" t="str">
        <x:v>2~3개</x:v>
      </x:c>
      <x:c r="S101" s="382" t="str">
        <x:v>한 명이 전액 부담</x:v>
      </x:c>
      <x:c r="T101" s="382" t="n">
        <x:v>3</x:v>
      </x:c>
      <x:c r="U101" s="382" t="str">
        <x:v>정산 시점 기억</x:v>
      </x:c>
      <x:c r="V101" s="382" t="str">
        <x:v>현재 어떤 상품을 이용 중인지 한눈에 보기 어려움, 매월 총 얼마를 지출하는지 파악하기 어려움, 결제일·갱신일을 관리하기 어려움, 여러 앱·사이트를 확인해야 해서 번거로움</x:v>
      </x:c>
      <x:c r="W101" s="382" t="str">
        <x:v>완전 해지</x:v>
      </x:c>
      <x:c r="X101" s="382" t="str">
        <x:v>현재 이용 중인 전체 구독·멤버십, 이번 달 총 결제 예정금액, 변경·해지하기 적절한 시점</x:v>
      </x:c>
      <x:c r="Y101" s="382" t="str">
        <x:v>무료체험 종료 및 자동 갱신 전, 혜택 사용기간 종료 전</x:v>
      </x:c>
      <x:c r="Z101" s="382"/>
    </x:row>
  </x:sheetData>
  <x:pageMargins left="0.7" right="0.7" top="0.75" bottom="0.75" header="0.3" footer="0.3"/>
  <x:tableParts count="1">
    <x:tablePart xmlns:r="http://schemas.openxmlformats.org/officeDocument/2006/relationships" r:id="R9a8be5711f8042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76" hidden="0" customWidth="1"/>
    <x:col min="4" max="4" width="16" hidden="0" customWidth="1"/>
    <x:col min="5" max="5" width="34" hidden="0" customWidth="1"/>
    <x:col min="6" max="6" width="34" hidden="0" customWidth="1"/>
  </x:cols>
  <x:sheetData>
    <x:row r="1" ht="30" customHeight="1">
      <x:c r="A1" s="305" t="str">
        <x:v>데이터사전·집계 기준</x:v>
      </x:c>
      <x:c r="B1" s="305"/>
      <x:c r="C1" s="305"/>
      <x:c r="D1" s="305"/>
      <x:c r="E1" s="305"/>
      <x:c r="F1" s="305"/>
    </x:row>
    <x:row r="2" ht="30" customHeight="1">
      <x:c r="A2" s="305"/>
      <x:c r="B2" s="305"/>
      <x:c r="C2" s="305"/>
      <x:c r="D2" s="305"/>
      <x:c r="E2" s="305"/>
      <x:c r="F2" s="305"/>
    </x:row>
    <x:row r="3" ht="24" customHeight="1">
      <x:c r="A3" s="306" t="str">
        <x:v>원본 문항, 응답 유형, 분석 기준을 명시해 결과 인용과 재검증을 쉽게 함</x:v>
      </x:c>
      <x:c r="B3" s="306"/>
      <x:c r="C3" s="306"/>
      <x:c r="D3" s="306"/>
      <x:c r="E3" s="306"/>
      <x:c r="F3" s="306"/>
    </x:row>
    <x:row r="4">
      <x:c r="A4" s="307"/>
      <x:c r="B4" s="307"/>
      <x:c r="C4" s="307"/>
      <x:c r="D4" s="307"/>
      <x:c r="E4" s="307"/>
      <x:c r="F4" s="307"/>
    </x:row>
    <x:row r="5">
      <x:c r="A5" s="340" t="str">
        <x:v>열</x:v>
      </x:c>
      <x:c r="B5" s="360" t="str">
        <x:v>영역</x:v>
      </x:c>
      <x:c r="C5" s="360" t="str">
        <x:v>원본 문항</x:v>
      </x:c>
      <x:c r="D5" s="360" t="str">
        <x:v>응답 유형</x:v>
      </x:c>
      <x:c r="E5" s="360" t="str">
        <x:v>집계 기준</x:v>
      </x:c>
      <x:c r="F5" s="341" t="str">
        <x:v>비고</x:v>
      </x:c>
    </x:row>
    <x:row r="6" ht="48" customHeight="1">
      <x:c r="A6" s="387" t="str">
        <x:v>A</x:v>
      </x:c>
      <x:c r="B6" s="378" t="str">
        <x:v>A. 응답자 특성</x:v>
      </x:c>
      <x:c r="C6" s="378" t="str">
        <x:v>타임스탬프</x:v>
      </x:c>
      <x:c r="D6" s="378" t="str">
        <x:v>일시</x:v>
      </x:c>
      <x:c r="E6" s="378" t="str">
        <x:v>보기와 일치하는 응답자 수 집계</x:v>
      </x:c>
      <x:c r="F6" s="378" t="str"/>
    </x:row>
    <x:row r="7" ht="48" customHeight="1">
      <x:c r="A7" s="388" t="str">
        <x:v>B</x:v>
      </x:c>
      <x:c r="B7" s="382" t="str">
        <x:v>A. 응답자 특성</x:v>
      </x:c>
      <x:c r="C7" s="382" t="str">
        <x:v>연령대</x:v>
      </x:c>
      <x:c r="D7" s="382" t="str">
        <x:v>단일선택</x:v>
      </x:c>
      <x:c r="E7" s="382" t="str">
        <x:v>보기와 일치하는 응답자 수 집계</x:v>
      </x:c>
      <x:c r="F7" s="382" t="str"/>
    </x:row>
    <x:row r="8" ht="48" customHeight="1">
      <x:c r="A8" s="388" t="str">
        <x:v>C</x:v>
      </x:c>
      <x:c r="B8" s="382" t="str">
        <x:v>A. 응답자 특성</x:v>
      </x:c>
      <x:c r="C8" s="382" t="str">
        <x:v>직업/고용형태</x:v>
      </x:c>
      <x:c r="D8" s="382" t="str">
        <x:v>단일선택</x:v>
      </x:c>
      <x:c r="E8" s="382" t="str">
        <x:v>보기와 일치하는 응답자 수 집계</x:v>
      </x:c>
      <x:c r="F8" s="382" t="str"/>
    </x:row>
    <x:row r="9" ht="48" customHeight="1">
      <x:c r="A9" s="388" t="str">
        <x:v>D</x:v>
      </x:c>
      <x:c r="B9" s="382" t="str">
        <x:v>A. 응답자 특성</x:v>
      </x:c>
      <x:c r="C9" s="382" t="str">
        <x:v>현재 유료로 이용 중인 구독·멤버십·통신 관련 상품은 총 몇 개인가요?</x:v>
      </x:c>
      <x:c r="D9" s="382" t="str">
        <x:v>단일선택</x:v>
      </x:c>
      <x:c r="E9" s="382" t="str">
        <x:v>보기와 일치하는 응답자 수 집계</x:v>
      </x:c>
      <x:c r="F9" s="382" t="str"/>
    </x:row>
    <x:row r="10" ht="48" customHeight="1">
      <x:c r="A10" s="388" t="str">
        <x:v>E</x:v>
      </x:c>
      <x:c r="B10" s="382" t="str">
        <x:v>A. 응답자 특성</x:v>
      </x:c>
      <x:c r="C10" s="382" t="str">
        <x:v>현재 이용 중인 상품 유형을 모두 선택해주세요.</x:v>
      </x:c>
      <x:c r="D10" s="382" t="str">
        <x:v>복수선택</x:v>
      </x:c>
      <x:c r="E10" s="382" t="str">
        <x:v>보기 포함 여부로 응답자 수 집계</x:v>
      </x:c>
      <x:c r="F10" s="382" t="str"/>
    </x:row>
    <x:row r="11" ht="48" customHeight="1">
      <x:c r="A11" s="388" t="str">
        <x:v>F</x:v>
      </x:c>
      <x:c r="B11" s="382" t="str">
        <x:v>A. 응답자 특성</x:v>
      </x:c>
      <x:c r="C11" s="382" t="str">
        <x:v>월평균 구독·멤버십 관련 지출액은 어느 정도인가요?</x:v>
      </x:c>
      <x:c r="D11" s="382" t="str">
        <x:v>단일선택</x:v>
      </x:c>
      <x:c r="E11" s="382" t="str">
        <x:v>보기와 일치하는 응답자 수 집계</x:v>
      </x:c>
      <x:c r="F11" s="382" t="str"/>
    </x:row>
    <x:row r="12" ht="48" customHeight="1">
      <x:c r="A12" s="388" t="str">
        <x:v>G</x:v>
      </x:c>
      <x:c r="B12" s="382" t="str">
        <x:v>B. 혜택 인지</x:v>
      </x:c>
      <x:c r="C12" s="382" t="str">
        <x:v>1. 현재 이용 중인 통신요금제·멤버십·결합상품에 어떤 혜택이 포함되어 있는지 얼마나 알고 있나요?</x:v>
      </x:c>
      <x:c r="D12" s="382" t="str">
        <x:v>단일선택</x:v>
      </x:c>
      <x:c r="E12" s="382" t="str">
        <x:v>보기와 일치하는 응답자 수 집계</x:v>
      </x:c>
      <x:c r="F12" s="382" t="str"/>
    </x:row>
    <x:row r="13" ht="48" customHeight="1">
      <x:c r="A13" s="388" t="str">
        <x:v>H</x:v>
      </x:c>
      <x:c r="B13" s="382" t="str">
        <x:v>B. 혜택 인지</x:v>
      </x:c>
      <x:c r="C13" s="382" t="str">
        <x:v>2. 상품 가입 후, 놓치고 있던 혜택을 뒤늦게 알게된 경험이 있나요?</x:v>
      </x:c>
      <x:c r="D13" s="382" t="str">
        <x:v>단일선택</x:v>
      </x:c>
      <x:c r="E13" s="382" t="str">
        <x:v>보기와 일치하는 응답자 수 집계</x:v>
      </x:c>
      <x:c r="F13" s="382" t="str"/>
    </x:row>
    <x:row r="14" ht="48" customHeight="1">
      <x:c r="A14" s="388" t="str">
        <x:v>I</x:v>
      </x:c>
      <x:c r="B14" s="382" t="str">
        <x:v>B. 혜택 인지</x:v>
      </x:c>
      <x:c r="C14" s="382" t="str">
        <x:v>3. 내가 받을 수 있는 혜택이나 적용 조건을 확인하기 위해 여러 앱·웹사이트를 찾아본 경험이 있나요?</x:v>
      </x:c>
      <x:c r="D14" s="382" t="str">
        <x:v>단일선택</x:v>
      </x:c>
      <x:c r="E14" s="382" t="str">
        <x:v>보기와 일치하는 응답자 수 집계</x:v>
      </x:c>
      <x:c r="F14" s="382" t="str"/>
    </x:row>
    <x:row r="15" ht="48" customHeight="1">
      <x:c r="A15" s="388" t="str">
        <x:v>J</x:v>
      </x:c>
      <x:c r="B15" s="382" t="str">
        <x:v>B. 혜택 인지</x:v>
      </x:c>
      <x:c r="C15" s="382" t="str">
        <x:v>4. 필요한 혜택이나 이용 조건을 직접 확인해야 할 때, 그 과정이 얼마나 번거롭다고 느끼나요?</x:v>
      </x:c>
      <x:c r="D15" s="382" t="str">
        <x:v>단일선택</x:v>
      </x:c>
      <x:c r="E15" s="382" t="str">
        <x:v>보기와 일치하는 응답자 수 집계</x:v>
      </x:c>
      <x:c r="F15" s="382" t="str"/>
    </x:row>
    <x:row r="16" ht="48" customHeight="1">
      <x:c r="A16" s="388" t="str">
        <x:v>K</x:v>
      </x:c>
      <x:c r="B16" s="382" t="str">
        <x:v>B. 혜택 인지</x:v>
      </x:c>
      <x:c r="C16" s="382" t="str">
        <x:v>1. 최근 1년 동안 다음과 같은 경험이 있었나요?</x:v>
      </x:c>
      <x:c r="D16" s="382" t="str">
        <x:v>단일선택</x:v>
      </x:c>
      <x:c r="E16" s="382" t="str">
        <x:v>보기와 일치하는 응답자 수 집계</x:v>
      </x:c>
      <x:c r="F16" s="382" t="str">
        <x:v>현재 원본 응답값 없음</x:v>
      </x:c>
    </x:row>
    <x:row r="17" ht="48" customHeight="1">
      <x:c r="A17" s="388" t="str">
        <x:v>L</x:v>
      </x:c>
      <x:c r="B17" s="382" t="str">
        <x:v>C. 결제·갱신</x:v>
      </x:c>
      <x:c r="C17" s="382" t="str">
        <x:v>1. 현재 이용 중인 서비스의 결제일·갱신일·혜택 만료일 등을 어느 정도 알고 있나요?</x:v>
      </x:c>
      <x:c r="D17" s="382" t="str">
        <x:v>단일선택</x:v>
      </x:c>
      <x:c r="E17" s="382" t="str">
        <x:v>보기와 일치하는 응답자 수 집계</x:v>
      </x:c>
      <x:c r="F17" s="382" t="str"/>
    </x:row>
    <x:row r="18" ht="48" customHeight="1">
      <x:c r="A18" s="388" t="str">
        <x:v>M</x:v>
      </x:c>
      <x:c r="B18" s="382" t="str">
        <x:v>C. 결제·갱신</x:v>
      </x:c>
      <x:c r="C18" s="382" t="str">
        <x:v>2. 현재 결제일·갱신일·혜택 만료일 등을 어떻게 관리하고 있나요?</x:v>
      </x:c>
      <x:c r="D18" s="382" t="str">
        <x:v>복수선택</x:v>
      </x:c>
      <x:c r="E18" s="382" t="str">
        <x:v>보기 포함 여부로 응답자 수 집계</x:v>
      </x:c>
      <x:c r="F18" s="382" t="str"/>
    </x:row>
    <x:row r="19" ht="48" customHeight="1">
      <x:c r="A19" s="388" t="str">
        <x:v>N</x:v>
      </x:c>
      <x:c r="B19" s="382" t="str">
        <x:v>C. 결제·갱신</x:v>
      </x:c>
      <x:c r="C19" s="382" t="str">
        <x:v>3. 최근 1년 동안 다음 시점을 놓치거나 뒤늦게 알게 된 경험이 있나요?  (복수 선택)</x:v>
      </x:c>
      <x:c r="D19" s="382" t="str">
        <x:v>복수선택</x:v>
      </x:c>
      <x:c r="E19" s="382" t="str">
        <x:v>보기 포함 여부로 응답자 수 집계</x:v>
      </x:c>
      <x:c r="F19" s="382" t="str"/>
    </x:row>
    <x:row r="20" ht="48" customHeight="1">
      <x:c r="A20" s="388" t="str">
        <x:v>O</x:v>
      </x:c>
      <x:c r="B20" s="382" t="str">
        <x:v>C. 결제·갱신</x:v>
      </x:c>
      <x:c r="C20" s="382" t="str">
        <x:v>4. 구독·멤버십 관련 일정을 캘린더나 일정관리 앱에 직접 등록해본 적이 있나요?</x:v>
      </x:c>
      <x:c r="D20" s="382" t="str">
        <x:v>단일선택</x:v>
      </x:c>
      <x:c r="E20" s="382" t="str">
        <x:v>보기와 일치하는 응답자 수 집계</x:v>
      </x:c>
      <x:c r="F20" s="382" t="str"/>
    </x:row>
    <x:row r="21" ht="48" customHeight="1">
      <x:c r="A21" s="388" t="str">
        <x:v>P</x:v>
      </x:c>
      <x:c r="B21" s="382" t="str">
        <x:v>C. 결제·갱신</x:v>
      </x:c>
      <x:c r="C21" s="382" t="str">
        <x:v>1. 없다면 가장 큰 이유는 무엇인가요?</x:v>
      </x:c>
      <x:c r="D21" s="382" t="str">
        <x:v>단일선택</x:v>
      </x:c>
      <x:c r="E21" s="382" t="str">
        <x:v>보기와 일치하는 응답자 수 집계</x:v>
      </x:c>
      <x:c r="F21" s="382" t="str">
        <x:v>조건부 문항: 실제 응답자 수를 분모로 사용</x:v>
      </x:c>
    </x:row>
    <x:row r="22" ht="48" customHeight="1">
      <x:c r="A22" s="388" t="str">
        <x:v>Q</x:v>
      </x:c>
      <x:c r="B22" s="382" t="str">
        <x:v>C. 결제·갱신</x:v>
      </x:c>
      <x:c r="C22" s="382" t="str">
        <x:v>1. 있다면 어떤 일정을 등록했나요?</x:v>
      </x:c>
      <x:c r="D22" s="382" t="str">
        <x:v>단일선택</x:v>
      </x:c>
      <x:c r="E22" s="382" t="str">
        <x:v>보기와 일치하는 응답자 수 집계</x:v>
      </x:c>
      <x:c r="F22" s="382" t="str">
        <x:v>조건부 문항: 실제 응답자 수를 분모로 사용</x:v>
      </x:c>
    </x:row>
    <x:row r="23" ht="48" customHeight="1">
      <x:c r="A23" s="388" t="str">
        <x:v>R</x:v>
      </x:c>
      <x:c r="B23" s="382" t="str">
        <x:v>D. 공동 구독</x:v>
      </x:c>
      <x:c r="C23" s="382" t="str">
        <x:v>1. 현재 가족·연인·친구 등 다른 사람과 함께 이용하는 유료 구독이 있나요?</x:v>
      </x:c>
      <x:c r="D23" s="382" t="str">
        <x:v>단일선택</x:v>
      </x:c>
      <x:c r="E23" s="382" t="str">
        <x:v>보기와 일치하는 응답자 수 집계</x:v>
      </x:c>
      <x:c r="F23" s="382" t="str"/>
    </x:row>
    <x:row r="24" ht="48" customHeight="1">
      <x:c r="A24" s="388" t="str">
        <x:v>S</x:v>
      </x:c>
      <x:c r="B24" s="382" t="str">
        <x:v>D. 공동 구독</x:v>
      </x:c>
      <x:c r="C24" s="382" t="str">
        <x:v>2. 공동 구독 비용은 주로 어떻게 관리하나요?</x:v>
      </x:c>
      <x:c r="D24" s="382" t="str">
        <x:v>단일선택</x:v>
      </x:c>
      <x:c r="E24" s="382" t="str">
        <x:v>보기와 일치하는 응답자 수 집계</x:v>
      </x:c>
      <x:c r="F24" s="382" t="str">
        <x:v>조건부 문항: 실제 응답자 수를 분모로 사용</x:v>
      </x:c>
    </x:row>
    <x:row r="25" ht="48" customHeight="1">
      <x:c r="A25" s="388" t="str">
        <x:v>T</x:v>
      </x:c>
      <x:c r="B25" s="382" t="str">
        <x:v>D. 공동 구독</x:v>
      </x:c>
      <x:c r="C25" s="382" t="str">
        <x:v>3. 공동 구독을 관리하면서 불편했던 경험이 있나요?</x:v>
      </x:c>
      <x:c r="D25" s="382" t="str">
        <x:v>단일선택</x:v>
      </x:c>
      <x:c r="E25" s="382" t="str">
        <x:v>보기와 일치하는 응답자 수 집계</x:v>
      </x:c>
      <x:c r="F25" s="382" t="str">
        <x:v>조건부 문항: 실제 응답자 수를 분모로 사용</x:v>
      </x:c>
    </x:row>
    <x:row r="26" ht="48" customHeight="1">
      <x:c r="A26" s="388" t="str">
        <x:v>U</x:v>
      </x:c>
      <x:c r="B26" s="382" t="str">
        <x:v>D. 공동 구독</x:v>
      </x:c>
      <x:c r="C26" s="382" t="str">
        <x:v>4. 가장 불편했던 점이 있다면 무엇인가요?</x:v>
      </x:c>
      <x:c r="D26" s="382" t="str">
        <x:v>단일선택</x:v>
      </x:c>
      <x:c r="E26" s="382" t="str">
        <x:v>보기와 일치하는 응답자 수 집계</x:v>
      </x:c>
      <x:c r="F26" s="382" t="str">
        <x:v>조건부 문항: 실제 응답자 수를 분모로 사용</x:v>
      </x:c>
    </x:row>
    <x:row r="27" ht="48" customHeight="1">
      <x:c r="A27" s="388" t="str">
        <x:v>V</x:v>
      </x:c>
      <x:c r="B27" s="382" t="str">
        <x:v>E. 가장 큰 문제</x:v>
      </x:c>
      <x:c r="C27" s="382" t="str">
        <x:v>1. 구독·멤버십을 관리하면서 가장 불편했던 점을 선택해주세요.</x:v>
      </x:c>
      <x:c r="D27" s="382" t="str">
        <x:v>복수선택</x:v>
      </x:c>
      <x:c r="E27" s="382" t="str">
        <x:v>보기 포함 여부로 응답자 수 집계</x:v>
      </x:c>
      <x:c r="F27" s="382" t="str"/>
    </x:row>
    <x:row r="28" ht="48" customHeight="1">
      <x:c r="A28" s="388" t="str">
        <x:v>W</x:v>
      </x:c>
      <x:c r="B28" s="382" t="str">
        <x:v>E. 가장 큰 문제</x:v>
      </x:c>
      <x:c r="C28" s="382" t="str">
        <x:v>2. 구독료가 부담되거나 필요성이 낮다고 느꼈을 때 최근 실제로 한 행동은 무엇인가요?</x:v>
      </x:c>
      <x:c r="D28" s="382" t="str">
        <x:v>단일선택</x:v>
      </x:c>
      <x:c r="E28" s="382" t="str">
        <x:v>보기와 일치하는 응답자 수 집계</x:v>
      </x:c>
      <x:c r="F28" s="382" t="str"/>
    </x:row>
    <x:row r="29" ht="48" customHeight="1">
      <x:c r="A29" s="388" t="str">
        <x:v>X</x:v>
      </x:c>
      <x:c r="B29" s="382" t="str">
        <x:v>F. 정보 우선순위</x:v>
      </x:c>
      <x:c r="C29" s="382" t="str">
        <x:v>1. 다음 중 한곳에서 확인할 수 있다면 가장 유용할 것 같은 정보를 선택해주세요. (복수 선택)</x:v>
      </x:c>
      <x:c r="D29" s="382" t="str">
        <x:v>복수선택</x:v>
      </x:c>
      <x:c r="E29" s="382" t="str">
        <x:v>보기 포함 여부로 응답자 수 집계</x:v>
      </x:c>
      <x:c r="F29" s="382" t="str"/>
    </x:row>
    <x:row r="30" ht="48" customHeight="1">
      <x:c r="A30" s="388" t="str">
        <x:v>Y</x:v>
      </x:c>
      <x:c r="B30" s="382" t="str">
        <x:v>F. 정보 우선순위</x:v>
      </x:c>
      <x:c r="C30" s="382" t="str">
        <x:v>2. 다음 중 미리 알림을 받고 싶은 시점을 선택해주세요. (복수 선택)</x:v>
      </x:c>
      <x:c r="D30" s="382" t="str">
        <x:v>복수선택</x:v>
      </x:c>
      <x:c r="E30" s="382" t="str">
        <x:v>보기 포함 여부로 응답자 수 집계</x:v>
      </x:c>
      <x:c r="F30" s="382" t="str"/>
    </x:row>
    <x:row r="31" ht="48" customHeight="1">
      <x:c r="A31" s="388" t="str">
        <x:v>Z</x:v>
      </x:c>
      <x:c r="B31" s="382" t="str">
        <x:v>F. 정보 우선순위</x:v>
      </x:c>
      <x:c r="C31" s="382" t="str">
        <x:v>구독 관리 방면에서 있었으면 하는 서비스나 기능을 자유롭게 작성해주세요. (선택사항)</x:v>
      </x:c>
      <x:c r="D31" s="382" t="str">
        <x:v>주관식</x:v>
      </x:c>
      <x:c r="E31" s="382" t="str">
        <x:v>원문 보존</x:v>
      </x:c>
      <x:c r="F31" s="382" t="str"/>
    </x:row>
    <x:row r="32">
      <x:c r="A32" s="307"/>
      <x:c r="B32" s="307"/>
      <x:c r="C32" s="307"/>
      <x:c r="D32" s="307"/>
      <x:c r="E32" s="307"/>
      <x:c r="F32" s="307"/>
    </x:row>
    <x:row r="33">
      <x:c r="A33" s="339" t="str">
        <x:v>출처 및 인용 정보</x:v>
      </x:c>
      <x:c r="B33" s="339"/>
      <x:c r="C33" s="339"/>
      <x:c r="D33" s="339"/>
      <x:c r="E33" s="339"/>
      <x:c r="F33" s="339"/>
    </x:row>
    <x:row r="34">
      <x:c r="A34" s="389" t="str">
        <x:v>원본: https://docs.google.com/spreadsheets/d/1Dt0XjmjVcpa6lx_P01cZ9gTsro30mCmcbFkmxQu-RB4/edit?usp=sharing
권장 표기: 팀 자체 온라인 설문조사, 「구독 및 멤버십 이용 및 관리 경험 설문지」, 2026.08, n=100.</x:v>
      </x:c>
      <x:c r="B34" s="390"/>
      <x:c r="C34" s="390"/>
      <x:c r="D34" s="390"/>
      <x:c r="E34" s="390"/>
      <x:c r="F34" s="391"/>
    </x:row>
    <x:row r="35">
      <x:c r="A35" s="392"/>
      <x:c r="B35" s="393"/>
      <x:c r="C35" s="393"/>
      <x:c r="D35" s="393"/>
      <x:c r="E35" s="393"/>
      <x:c r="F35" s="394"/>
    </x:row>
  </x:sheetData>
  <x:mergeCells>
    <x:mergeCell ref="A1:F2"/>
    <x:mergeCell ref="A3:F3"/>
    <x:mergeCell ref="A33:F33"/>
    <x:mergeCell ref="A34:F3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0" hidden="0" customWidth="1"/>
    <x:col min="3" max="3" width="14" hidden="0" customWidth="1"/>
    <x:col min="4" max="4" width="34" hidden="0" customWidth="1"/>
  </x:cols>
  <x:sheetData>
    <x:row r="1" ht="30" customHeight="1">
      <x:c r="A1" s="305" t="str">
        <x:v>복수선택 집계 도우미</x:v>
      </x:c>
      <x:c r="B1" s="305"/>
      <x:c r="C1" s="305"/>
      <x:c r="D1" s="305"/>
    </x:row>
    <x:row r="2" ht="30" customHeight="1">
      <x:c r="A2" s="305"/>
      <x:c r="B2" s="305"/>
      <x:c r="C2" s="305"/>
      <x:c r="D2" s="305"/>
    </x:row>
    <x:row r="3" ht="24" customHeight="1">
      <x:c r="A3" s="306" t="str">
        <x:v>복수선택 원문 조합별 빈도를 원본에서 수식으로 집계하고, 문항별 선택률 계산에 재사용</x:v>
      </x:c>
      <x:c r="B3" s="306"/>
      <x:c r="C3" s="306"/>
      <x:c r="D3" s="306"/>
    </x:row>
    <x:row r="4">
      <x:c r="A4" s="307"/>
      <x:c r="B4" s="307"/>
      <x:c r="C4" s="307"/>
      <x:c r="D4" s="307"/>
    </x:row>
    <x:row r="5">
      <x:c r="A5" s="340" t="str">
        <x:v>원본 열</x:v>
      </x:c>
      <x:c r="B5" s="360" t="str">
        <x:v>복수선택 원문 조합</x:v>
      </x:c>
      <x:c r="C5" s="360" t="str">
        <x:v>원본 내 빈도</x:v>
      </x:c>
      <x:c r="D5" s="341" t="str">
        <x:v>설명</x:v>
      </x:c>
    </x:row>
    <x:row r="6" ht="38" customHeight="1">
      <x:c r="A6" s="395" t="str">
        <x:v>E</x:v>
      </x:c>
      <x:c r="B6" s="378" t="str">
        <x:v>OTT (예: 넷플릭스 등), 생성형 AI (예: GPT 등), 배달 멤버십 (예: 배민클럽 등), 클라우드·생산성 툴 (예: icloud / notion 등)</x:v>
      </x:c>
      <x:c r="C6" s="396" t="n">
        <x:f>COUNTIF('04_원본응답'!$E$2:$E$101,"OTT (예: 넷플릭스 등), 생성형 AI (예: GPT 등), 배달 멤버십 (예: 배민클럽 등), 클라우드·생산성 툴 (예: icloud / notion 등)")</x:f>
        <x:v>1</x:v>
      </x:c>
      <x:c r="D6" s="378" t="str">
        <x:v>원본 조합과 정확히 일치하는 응답 수</x:v>
      </x:c>
    </x:row>
    <x:row r="7" ht="38" customHeight="1">
      <x:c r="A7" s="397" t="str">
        <x:v>E</x:v>
      </x:c>
      <x:c r="B7" s="382" t="str">
        <x:v>생성형 AI (예: GPT 등), 음악·전자책·콘텐츠 (예 : Melon 등), 배달 멤버십 (예: 배민클럽 등)</x:v>
      </x:c>
      <x:c r="C7" s="398" t="n">
        <x:f>COUNTIF('04_원본응답'!$E$2:$E$101,"생성형 AI (예: GPT 등), 음악·전자책·콘텐츠 (예 : Melon 등), 배달 멤버십 (예: 배민클럽 등)")</x:f>
        <x:v>1</x:v>
      </x:c>
      <x:c r="D7" s="382" t="str">
        <x:v>원본 조합과 정확히 일치하는 응답 수</x:v>
      </x:c>
    </x:row>
    <x:row r="8" ht="38" customHeight="1">
      <x:c r="A8" s="397" t="str">
        <x:v>E</x:v>
      </x:c>
      <x:c r="B8" s="382" t="str">
        <x:v>OTT (예: 넷플릭스 등), 생성형 AI (예: GPT 등), 음악·전자책·콘텐츠 (예 : Melon 등), 쇼핑 멤버십 (예 : 네이버+ 멤버십 등), 게임 패스 (예 : Xbox gamepass 등), 통신사 결합상품·구독 혜택</x:v>
      </x:c>
      <x:c r="C8" s="398" t="n">
        <x:f>COUNTIF('04_원본응답'!$E$2:$E$101,"OTT (예: 넷플릭스 등), 생성형 AI (예: GPT 등), 음악·전자책·콘텐츠 (예 : Melon 등), 쇼핑 멤버십 (예 : 네이버+ 멤버십 등), 게임 패스 (예 : Xbox gamepass 등), 통신사 결합상품·구독 혜택")</x:f>
        <x:v>1</x:v>
      </x:c>
      <x:c r="D8" s="382" t="str">
        <x:v>원본 조합과 정확히 일치하는 응답 수</x:v>
      </x:c>
    </x:row>
    <x:row r="9" ht="38" customHeight="1">
      <x:c r="A9" s="397" t="str">
        <x:v>E</x:v>
      </x:c>
      <x:c r="B9" s="382" t="str">
        <x:v>OTT (예: 넷플릭스 등), 생성형 AI (예: GPT 등), 쇼핑 멤버십 (예 : 네이버+ 멤버십 등), 배달 멤버십 (예: 배민클럽 등)</x:v>
      </x:c>
      <x:c r="C9" s="398" t="n">
        <x:f>COUNTIF('04_원본응답'!$E$2:$E$101,"OTT (예: 넷플릭스 등), 생성형 AI (예: GPT 등), 쇼핑 멤버십 (예 : 네이버+ 멤버십 등), 배달 멤버십 (예: 배민클럽 등)")</x:f>
        <x:v>2</x:v>
      </x:c>
      <x:c r="D9" s="382" t="str">
        <x:v>원본 조합과 정확히 일치하는 응답 수</x:v>
      </x:c>
    </x:row>
    <x:row r="10" ht="38" customHeight="1">
      <x:c r="A10" s="397" t="str">
        <x:v>E</x:v>
      </x:c>
      <x:c r="B10" s="382" t="str">
        <x:v>OTT (예: 넷플릭스 등), 생성형 AI (예: GPT 등), 쇼핑 멤버십 (예 : 네이버+ 멤버십 등), 배달 멤버십 (예: 배민클럽 등), 게임 패스 (예 : Xbox gamepass 등)</x:v>
      </x:c>
      <x:c r="C10" s="398" t="n">
        <x:f>COUNTIF('04_원본응답'!$E$2:$E$101,"OTT (예: 넷플릭스 등), 생성형 AI (예: GPT 등), 쇼핑 멤버십 (예 : 네이버+ 멤버십 등), 배달 멤버십 (예: 배민클럽 등), 게임 패스 (예 : Xbox gamepass 등)")</x:f>
        <x:v>2</x:v>
      </x:c>
      <x:c r="D10" s="382" t="str">
        <x:v>원본 조합과 정확히 일치하는 응답 수</x:v>
      </x:c>
    </x:row>
    <x:row r="11" ht="38" customHeight="1">
      <x:c r="A11" s="397" t="str">
        <x:v>E</x:v>
      </x:c>
      <x:c r="B11" s="382" t="str">
        <x:v>OTT (예: 넷플릭스 등), 음악·전자책·콘텐츠 (예 : Melon 등), 쇼핑 멤버십 (예 : 네이버+ 멤버십 등), 배달 멤버십 (예: 배민클럽 등)</x:v>
      </x:c>
      <x:c r="C11" s="398" t="n">
        <x:f>COUNTIF('04_원본응답'!$E$2:$E$101,"OTT (예: 넷플릭스 등), 음악·전자책·콘텐츠 (예 : Melon 등), 쇼핑 멤버십 (예 : 네이버+ 멤버십 등), 배달 멤버십 (예: 배민클럽 등)")</x:f>
        <x:v>3</x:v>
      </x:c>
      <x:c r="D11" s="382" t="str">
        <x:v>원본 조합과 정확히 일치하는 응답 수</x:v>
      </x:c>
    </x:row>
    <x:row r="12" ht="38" customHeight="1">
      <x:c r="A12" s="397" t="str">
        <x:v>E</x:v>
      </x:c>
      <x:c r="B12" s="382" t="str">
        <x:v>OTT (예: 넷플릭스 등), 생성형 AI (예: GPT 등), 음악·전자책·콘텐츠 (예 : Melon 등), 쇼핑 멤버십 (예 : 네이버+ 멤버십 등), 배달 멤버십 (예: 배민클럽 등), 클라우드·생산성 툴 (예: icloud / notion 등), 통신사 결합상품·구독 혜택</x:v>
      </x:c>
      <x:c r="C12" s="398" t="n">
        <x:f>COUNTIF('04_원본응답'!$E$2:$E$101,"OTT (예: 넷플릭스 등), 생성형 AI (예: GPT 등), 음악·전자책·콘텐츠 (예 : Melon 등), 쇼핑 멤버십 (예 : 네이버+ 멤버십 등), 배달 멤버십 (예: 배민클럽 등), 클라우드·생산성 툴 (예: icloud / notion 등), 통신사 결합상품·구독 혜택")</x:f>
        <x:v>4</x:v>
      </x:c>
      <x:c r="D12" s="382" t="str">
        <x:v>원본 조합과 정확히 일치하는 응답 수</x:v>
      </x:c>
    </x:row>
    <x:row r="13" ht="38" customHeight="1">
      <x:c r="A13" s="397" t="str">
        <x:v>E</x:v>
      </x:c>
      <x:c r="B13" s="382" t="str">
        <x:v>OTT (예: 넷플릭스 등), 생성형 AI (예: GPT 등), 음악·전자책·콘텐츠 (예 : Melon 등), 배달 멤버십 (예: 배민클럽 등)</x:v>
      </x:c>
      <x:c r="C13" s="398" t="n">
        <x:f>COUNTIF('04_원본응답'!$E$2:$E$101,"OTT (예: 넷플릭스 등), 생성형 AI (예: GPT 등), 음악·전자책·콘텐츠 (예 : Melon 등), 배달 멤버십 (예: 배민클럽 등)")</x:f>
        <x:v>1</x:v>
      </x:c>
      <x:c r="D13" s="382" t="str">
        <x:v>원본 조합과 정확히 일치하는 응답 수</x:v>
      </x:c>
    </x:row>
    <x:row r="14" ht="38" customHeight="1">
      <x:c r="A14" s="397" t="str">
        <x:v>E</x:v>
      </x:c>
      <x:c r="B14" s="382" t="str">
        <x:v>생성형 AI (예: GPT 등)</x:v>
      </x:c>
      <x:c r="C14" s="398" t="n">
        <x:f>COUNTIF('04_원본응답'!$E$2:$E$101,"생성형 AI (예: GPT 등)")</x:f>
        <x:v>1</x:v>
      </x:c>
      <x:c r="D14" s="382" t="str">
        <x:v>원본 조합과 정확히 일치하는 응답 수</x:v>
      </x:c>
    </x:row>
    <x:row r="15" ht="38" customHeight="1">
      <x:c r="A15" s="397" t="str">
        <x:v>E</x:v>
      </x:c>
      <x:c r="B15" s="382" t="str">
        <x:v>생성형 AI (예: GPT 등), 음악·전자책·콘텐츠 (예 : Melon 등), 쇼핑 멤버십 (예 : 네이버+ 멤버십 등), 배달 멤버십 (예: 배민클럽 등), 클라우드·생산성 툴 (예: icloud / notion 등)</x:v>
      </x:c>
      <x:c r="C15" s="398" t="n">
        <x:f>COUNTIF('04_원본응답'!$E$2:$E$101,"생성형 AI (예: GPT 등), 음악·전자책·콘텐츠 (예 : Melon 등), 쇼핑 멤버십 (예 : 네이버+ 멤버십 등), 배달 멤버십 (예: 배민클럽 등), 클라우드·생산성 툴 (예: icloud / notion 등)")</x:f>
        <x:v>1</x:v>
      </x:c>
      <x:c r="D15" s="382" t="str">
        <x:v>원본 조합과 정확히 일치하는 응답 수</x:v>
      </x:c>
    </x:row>
    <x:row r="16" ht="38" customHeight="1">
      <x:c r="A16" s="397" t="str">
        <x:v>E</x:v>
      </x:c>
      <x:c r="B16" s="382" t="str">
        <x:v>OTT (예: 넷플릭스 등), 음악·전자책·콘텐츠 (예 : Melon 등), 쇼핑 멤버십 (예 : 네이버+ 멤버십 등), 배달 멤버십 (예: 배민클럽 등), 클라우드·생산성 툴 (예: icloud / notion 등), 통신사 결합상품·구독 혜택</x:v>
      </x:c>
      <x:c r="C16" s="398" t="n">
        <x:f>COUNTIF('04_원본응답'!$E$2:$E$101,"OTT (예: 넷플릭스 등), 음악·전자책·콘텐츠 (예 : Melon 등), 쇼핑 멤버십 (예 : 네이버+ 멤버십 등), 배달 멤버십 (예: 배민클럽 등), 클라우드·생산성 툴 (예: icloud / notion 등), 통신사 결합상품·구독 혜택")</x:f>
        <x:v>3</x:v>
      </x:c>
      <x:c r="D16" s="382" t="str">
        <x:v>원본 조합과 정확히 일치하는 응답 수</x:v>
      </x:c>
    </x:row>
    <x:row r="17" ht="38" customHeight="1">
      <x:c r="A17" s="397" t="str">
        <x:v>E</x:v>
      </x:c>
      <x:c r="B17" s="382" t="str">
        <x:v>음악·전자책·콘텐츠 (예 : Melon 등)</x:v>
      </x:c>
      <x:c r="C17" s="398" t="n">
        <x:f>COUNTIF('04_원본응답'!$E$2:$E$101,"음악·전자책·콘텐츠 (예 : Melon 등)")</x:f>
        <x:v>1</x:v>
      </x:c>
      <x:c r="D17" s="382" t="str">
        <x:v>원본 조합과 정확히 일치하는 응답 수</x:v>
      </x:c>
    </x:row>
    <x:row r="18" ht="38" customHeight="1">
      <x:c r="A18" s="397" t="str">
        <x:v>E</x:v>
      </x:c>
      <x:c r="B18" s="382" t="str">
        <x:v>OTT (예: 넷플릭스 등), 통신사 결합상품·구독 혜택</x:v>
      </x:c>
      <x:c r="C18" s="398" t="n">
        <x:f>COUNTIF('04_원본응답'!$E$2:$E$101,"OTT (예: 넷플릭스 등), 통신사 결합상품·구독 혜택")</x:f>
        <x:v>2</x:v>
      </x:c>
      <x:c r="D18" s="382" t="str">
        <x:v>원본 조합과 정확히 일치하는 응답 수</x:v>
      </x:c>
    </x:row>
    <x:row r="19" ht="38" customHeight="1">
      <x:c r="A19" s="397" t="str">
        <x:v>E</x:v>
      </x:c>
      <x:c r="B19" s="382" t="str">
        <x:v>OTT (예: 넷플릭스 등), 생성형 AI (예: GPT 등), 음악·전자책·콘텐츠 (예 : Melon 등), 쇼핑 멤버십 (예 : 네이버+ 멤버십 등), 배달 멤버십 (예: 배민클럽 등), 클라우드·생산성 툴 (예: icloud / notion 등)</x:v>
      </x:c>
      <x:c r="C19" s="398" t="n">
        <x:f>COUNTIF('04_원본응답'!$E$2:$E$101,"OTT (예: 넷플릭스 등), 생성형 AI (예: GPT 등), 음악·전자책·콘텐츠 (예 : Melon 등), 쇼핑 멤버십 (예 : 네이버+ 멤버십 등), 배달 멤버십 (예: 배민클럽 등), 클라우드·생산성 툴 (예: icloud / notion 등)")</x:f>
        <x:v>2</x:v>
      </x:c>
      <x:c r="D19" s="382" t="str">
        <x:v>원본 조합과 정확히 일치하는 응답 수</x:v>
      </x:c>
    </x:row>
    <x:row r="20" ht="38" customHeight="1">
      <x:c r="A20" s="397" t="str">
        <x:v>E</x:v>
      </x:c>
      <x:c r="B20" s="382" t="str">
        <x:v>OTT (예: 넷플릭스 등), 음악·전자책·콘텐츠 (예 : Melon 등), 쇼핑 멤버십 (예 : 네이버+ 멤버십 등)</x:v>
      </x:c>
      <x:c r="C20" s="398" t="n">
        <x:f>COUNTIF('04_원본응답'!$E$2:$E$101,"OTT (예: 넷플릭스 등), 음악·전자책·콘텐츠 (예 : Melon 등), 쇼핑 멤버십 (예 : 네이버+ 멤버십 등)")</x:f>
        <x:v>4</x:v>
      </x:c>
      <x:c r="D20" s="382" t="str">
        <x:v>원본 조합과 정확히 일치하는 응답 수</x:v>
      </x:c>
    </x:row>
    <x:row r="21" ht="38" customHeight="1">
      <x:c r="A21" s="397" t="str">
        <x:v>E</x:v>
      </x:c>
      <x:c r="B21" s="382" t="str">
        <x:v>OTT (예: 넷플릭스 등), 생성형 AI (예: GPT 등), 쇼핑 멤버십 (예 : 네이버+ 멤버십 등), 배달 멤버십 (예: 배민클럽 등), 통신사 결합상품·구독 혜택</x:v>
      </x:c>
      <x:c r="C21" s="398" t="n">
        <x:f>COUNTIF('04_원본응답'!$E$2:$E$101,"OTT (예: 넷플릭스 등), 생성형 AI (예: GPT 등), 쇼핑 멤버십 (예 : 네이버+ 멤버십 등), 배달 멤버십 (예: 배민클럽 등), 통신사 결합상품·구독 혜택")</x:f>
        <x:v>3</x:v>
      </x:c>
      <x:c r="D21" s="382" t="str">
        <x:v>원본 조합과 정확히 일치하는 응답 수</x:v>
      </x:c>
    </x:row>
    <x:row r="22" ht="38" customHeight="1">
      <x:c r="A22" s="397" t="str">
        <x:v>E</x:v>
      </x:c>
      <x:c r="B22" s="382" t="str">
        <x:v>OTT (예: 넷플릭스 등), 쇼핑 멤버십 (예 : 네이버+ 멤버십 등)</x:v>
      </x:c>
      <x:c r="C22" s="398" t="n">
        <x:f>COUNTIF('04_원본응답'!$E$2:$E$101,"OTT (예: 넷플릭스 등), 쇼핑 멤버십 (예 : 네이버+ 멤버십 등)")</x:f>
        <x:v>3</x:v>
      </x:c>
      <x:c r="D22" s="382" t="str">
        <x:v>원본 조합과 정확히 일치하는 응답 수</x:v>
      </x:c>
    </x:row>
    <x:row r="23" ht="38" customHeight="1">
      <x:c r="A23" s="397" t="str">
        <x:v>E</x:v>
      </x:c>
      <x:c r="B23" s="382" t="str">
        <x:v>OTT (예: 넷플릭스 등), 배달 멤버십 (예: 배민클럽 등)</x:v>
      </x:c>
      <x:c r="C23" s="398" t="n">
        <x:f>COUNTIF('04_원본응답'!$E$2:$E$101,"OTT (예: 넷플릭스 등), 배달 멤버십 (예: 배민클럽 등)")</x:f>
        <x:v>3</x:v>
      </x:c>
      <x:c r="D23" s="382" t="str">
        <x:v>원본 조합과 정확히 일치하는 응답 수</x:v>
      </x:c>
    </x:row>
    <x:row r="24" ht="38" customHeight="1">
      <x:c r="A24" s="397" t="str">
        <x:v>E</x:v>
      </x:c>
      <x:c r="B24" s="382" t="str">
        <x:v>음악·전자책·콘텐츠 (예 : Melon 등), 쇼핑 멤버십 (예 : 네이버+ 멤버십 등), 게임 패스 (예 : Xbox gamepass 등), 통신사 결합상품·구독 혜택</x:v>
      </x:c>
      <x:c r="C24" s="398" t="n">
        <x:f>COUNTIF('04_원본응답'!$E$2:$E$101,"음악·전자책·콘텐츠 (예 : Melon 등), 쇼핑 멤버십 (예 : 네이버+ 멤버십 등), 게임 패스 (예 : Xbox gamepass 등), 통신사 결합상품·구독 혜택")</x:f>
        <x:v>1</x:v>
      </x:c>
      <x:c r="D24" s="382" t="str">
        <x:v>원본 조합과 정확히 일치하는 응답 수</x:v>
      </x:c>
    </x:row>
    <x:row r="25" ht="38" customHeight="1">
      <x:c r="A25" s="397" t="str">
        <x:v>E</x:v>
      </x:c>
      <x:c r="B25" s="382" t="str">
        <x:v>OTT (예: 넷플릭스 등)</x:v>
      </x:c>
      <x:c r="C25" s="398" t="n">
        <x:f>COUNTIF('04_원본응답'!$E$2:$E$101,"OTT (예: 넷플릭스 등)")</x:f>
        <x:v>3</x:v>
      </x:c>
      <x:c r="D25" s="382" t="str">
        <x:v>원본 조합과 정확히 일치하는 응답 수</x:v>
      </x:c>
    </x:row>
    <x:row r="26" ht="38" customHeight="1">
      <x:c r="A26" s="397" t="str">
        <x:v>E</x:v>
      </x:c>
      <x:c r="B26" s="382" t="str">
        <x:v>OTT (예: 넷플릭스 등), 음악·전자책·콘텐츠 (예 : Melon 등), 배달 멤버십 (예: 배민클럽 등)</x:v>
      </x:c>
      <x:c r="C26" s="398" t="n">
        <x:f>COUNTIF('04_원본응답'!$E$2:$E$101,"OTT (예: 넷플릭스 등), 음악·전자책·콘텐츠 (예 : Melon 등), 배달 멤버십 (예: 배민클럽 등)")</x:f>
        <x:v>4</x:v>
      </x:c>
      <x:c r="D26" s="382" t="str">
        <x:v>원본 조합과 정확히 일치하는 응답 수</x:v>
      </x:c>
    </x:row>
    <x:row r="27" ht="38" customHeight="1">
      <x:c r="A27" s="397" t="str">
        <x:v>E</x:v>
      </x:c>
      <x:c r="B27" s="382" t="str">
        <x:v>OTT (예: 넷플릭스 등), 생성형 AI (예: GPT 등), 배달 멤버십 (예: 배민클럽 등)</x:v>
      </x:c>
      <x:c r="C27" s="398" t="n">
        <x:f>COUNTIF('04_원본응답'!$E$2:$E$101,"OTT (예: 넷플릭스 등), 생성형 AI (예: GPT 등), 배달 멤버십 (예: 배민클럽 등)")</x:f>
        <x:v>2</x:v>
      </x:c>
      <x:c r="D27" s="382" t="str">
        <x:v>원본 조합과 정확히 일치하는 응답 수</x:v>
      </x:c>
    </x:row>
    <x:row r="28" ht="38" customHeight="1">
      <x:c r="A28" s="397" t="str">
        <x:v>E</x:v>
      </x:c>
      <x:c r="B28" s="382" t="str">
        <x:v>쇼핑 멤버십 (예 : 네이버+ 멤버십 등), 배달 멤버십 (예: 배민클럽 등)</x:v>
      </x:c>
      <x:c r="C28" s="398" t="n">
        <x:f>COUNTIF('04_원본응답'!$E$2:$E$101,"쇼핑 멤버십 (예 : 네이버+ 멤버십 등), 배달 멤버십 (예: 배민클럽 등)")</x:f>
        <x:v>1</x:v>
      </x:c>
      <x:c r="D28" s="382" t="str">
        <x:v>원본 조합과 정확히 일치하는 응답 수</x:v>
      </x:c>
    </x:row>
    <x:row r="29" ht="38" customHeight="1">
      <x:c r="A29" s="397" t="str">
        <x:v>E</x:v>
      </x:c>
      <x:c r="B29" s="382" t="str">
        <x:v>OTT (예: 넷플릭스 등), 음악·전자책·콘텐츠 (예 : Melon 등), 통신사 결합상품·구독 혜택</x:v>
      </x:c>
      <x:c r="C29" s="398" t="n">
        <x:f>COUNTIF('04_원본응답'!$E$2:$E$101,"OTT (예: 넷플릭스 등), 음악·전자책·콘텐츠 (예 : Melon 등), 통신사 결합상품·구독 혜택")</x:f>
        <x:v>2</x:v>
      </x:c>
      <x:c r="D29" s="382" t="str">
        <x:v>원본 조합과 정확히 일치하는 응답 수</x:v>
      </x:c>
    </x:row>
    <x:row r="30" ht="38" customHeight="1">
      <x:c r="A30" s="397" t="str">
        <x:v>E</x:v>
      </x:c>
      <x:c r="B30" s="382" t="str">
        <x:v>OTT (예: 넷플릭스 등), 생성형 AI (예: GPT 등), 음악·전자책·콘텐츠 (예 : Melon 등), 쇼핑 멤버십 (예 : 네이버+ 멤버십 등), 클라우드·생산성 툴 (예: icloud / notion 등), 통신사 결합상품·구독 혜택</x:v>
      </x:c>
      <x:c r="C30" s="398" t="n">
        <x:f>COUNTIF('04_원본응답'!$E$2:$E$101,"OTT (예: 넷플릭스 등), 생성형 AI (예: GPT 등), 음악·전자책·콘텐츠 (예 : Melon 등), 쇼핑 멤버십 (예 : 네이버+ 멤버십 등), 클라우드·생산성 툴 (예: icloud / notion 등), 통신사 결합상품·구독 혜택")</x:f>
        <x:v>1</x:v>
      </x:c>
      <x:c r="D30" s="382" t="str">
        <x:v>원본 조합과 정확히 일치하는 응답 수</x:v>
      </x:c>
    </x:row>
    <x:row r="31" ht="38" customHeight="1">
      <x:c r="A31" s="397" t="str">
        <x:v>E</x:v>
      </x:c>
      <x:c r="B31" s="382" t="str">
        <x:v>OTT (예: 넷플릭스 등), 생성형 AI (예: GPT 등), 음악·전자책·콘텐츠 (예 : Melon 등), 쇼핑 멤버십 (예 : 네이버+ 멤버십 등), 통신사 결합상품·구독 혜택</x:v>
      </x:c>
      <x:c r="C31" s="398" t="n">
        <x:f>COUNTIF('04_원본응답'!$E$2:$E$101,"OTT (예: 넷플릭스 등), 생성형 AI (예: GPT 등), 음악·전자책·콘텐츠 (예 : Melon 등), 쇼핑 멤버십 (예 : 네이버+ 멤버십 등), 통신사 결합상품·구독 혜택")</x:f>
        <x:v>1</x:v>
      </x:c>
      <x:c r="D31" s="382" t="str">
        <x:v>원본 조합과 정확히 일치하는 응답 수</x:v>
      </x:c>
    </x:row>
    <x:row r="32" ht="38" customHeight="1">
      <x:c r="A32" s="397" t="str">
        <x:v>E</x:v>
      </x:c>
      <x:c r="B32" s="382" t="str">
        <x:v>OTT (예: 넷플릭스 등), 생성형 AI (예: GPT 등)</x:v>
      </x:c>
      <x:c r="C32" s="398" t="n">
        <x:f>COUNTIF('04_원본응답'!$E$2:$E$101,"OTT (예: 넷플릭스 등), 생성형 AI (예: GPT 등)")</x:f>
        <x:v>2</x:v>
      </x:c>
      <x:c r="D32" s="382" t="str">
        <x:v>원본 조합과 정확히 일치하는 응답 수</x:v>
      </x:c>
    </x:row>
    <x:row r="33" ht="38" customHeight="1">
      <x:c r="A33" s="397" t="str">
        <x:v>E</x:v>
      </x:c>
      <x:c r="B33" s="382" t="str">
        <x:v>OTT (예: 넷플릭스 등), 생성형 AI (예: GPT 등), 음악·전자책·콘텐츠 (예 : Melon 등), 쇼핑 멤버십 (예 : 네이버+ 멤버십 등), 배달 멤버십 (예: 배민클럽 등), 통신사 결합상품·구독 혜택</x:v>
      </x:c>
      <x:c r="C33" s="398" t="n">
        <x:f>COUNTIF('04_원본응답'!$E$2:$E$101,"OTT (예: 넷플릭스 등), 생성형 AI (예: GPT 등), 음악·전자책·콘텐츠 (예 : Melon 등), 쇼핑 멤버십 (예 : 네이버+ 멤버십 등), 배달 멤버십 (예: 배민클럽 등), 통신사 결합상품·구독 혜택")</x:f>
        <x:v>4</x:v>
      </x:c>
      <x:c r="D33" s="382" t="str">
        <x:v>원본 조합과 정확히 일치하는 응답 수</x:v>
      </x:c>
    </x:row>
    <x:row r="34" ht="38" customHeight="1">
      <x:c r="A34" s="397" t="str">
        <x:v>E</x:v>
      </x:c>
      <x:c r="B34" s="382" t="str">
        <x:v>통신사 결합상품·구독 혜택</x:v>
      </x:c>
      <x:c r="C34" s="398" t="n">
        <x:f>COUNTIF('04_원본응답'!$E$2:$E$101,"통신사 결합상품·구독 혜택")</x:f>
        <x:v>1</x:v>
      </x:c>
      <x:c r="D34" s="382" t="str">
        <x:v>원본 조합과 정확히 일치하는 응답 수</x:v>
      </x:c>
    </x:row>
    <x:row r="35" ht="38" customHeight="1">
      <x:c r="A35" s="397" t="str">
        <x:v>E</x:v>
      </x:c>
      <x:c r="B35" s="382" t="str">
        <x:v>OTT (예: 넷플릭스 등), 생성형 AI (예: GPT 등), 음악·전자책·콘텐츠 (예 : Melon 등), 클라우드·생산성 툴 (예: icloud / notion 등)</x:v>
      </x:c>
      <x:c r="C35" s="398" t="n">
        <x:f>COUNTIF('04_원본응답'!$E$2:$E$101,"OTT (예: 넷플릭스 등), 생성형 AI (예: GPT 등), 음악·전자책·콘텐츠 (예 : Melon 등), 클라우드·생산성 툴 (예: icloud / notion 등)")</x:f>
        <x:v>1</x:v>
      </x:c>
      <x:c r="D35" s="382" t="str">
        <x:v>원본 조합과 정확히 일치하는 응답 수</x:v>
      </x:c>
    </x:row>
    <x:row r="36" ht="38" customHeight="1">
      <x:c r="A36" s="397" t="str">
        <x:v>E</x:v>
      </x:c>
      <x:c r="B36" s="382" t="str">
        <x:v>OTT (예: 넷플릭스 등), 음악·전자책·콘텐츠 (예 : Melon 등), 배달 멤버십 (예: 배민클럽 등), 통신사 결합상품·구독 혜택</x:v>
      </x:c>
      <x:c r="C36" s="398" t="n">
        <x:f>COUNTIF('04_원본응답'!$E$2:$E$101,"OTT (예: 넷플릭스 등), 음악·전자책·콘텐츠 (예 : Melon 등), 배달 멤버십 (예: 배민클럽 등), 통신사 결합상품·구독 혜택")</x:f>
        <x:v>1</x:v>
      </x:c>
      <x:c r="D36" s="382" t="str">
        <x:v>원본 조합과 정확히 일치하는 응답 수</x:v>
      </x:c>
    </x:row>
    <x:row r="37" ht="38" customHeight="1">
      <x:c r="A37" s="397" t="str">
        <x:v>E</x:v>
      </x:c>
      <x:c r="B37" s="382" t="str">
        <x:v>OTT (예: 넷플릭스 등), 생성형 AI (예: GPT 등), 음악·전자책·콘텐츠 (예 : Melon 등), 쇼핑 멤버십 (예 : 네이버+ 멤버십 등), 배달 멤버십 (예: 배민클럽 등)</x:v>
      </x:c>
      <x:c r="C37" s="398" t="n">
        <x:f>COUNTIF('04_원본응답'!$E$2:$E$101,"OTT (예: 넷플릭스 등), 생성형 AI (예: GPT 등), 음악·전자책·콘텐츠 (예 : Melon 등), 쇼핑 멤버십 (예 : 네이버+ 멤버십 등), 배달 멤버십 (예: 배민클럽 등)")</x:f>
        <x:v>1</x:v>
      </x:c>
      <x:c r="D37" s="382" t="str">
        <x:v>원본 조합과 정확히 일치하는 응답 수</x:v>
      </x:c>
    </x:row>
    <x:row r="38" ht="38" customHeight="1">
      <x:c r="A38" s="397" t="str">
        <x:v>E</x:v>
      </x:c>
      <x:c r="B38" s="382" t="str">
        <x:v>OTT (예: 넷플릭스 등), 쇼핑 멤버십 (예 : 네이버+ 멤버십 등), 통신사 결합상품·구독 혜택</x:v>
      </x:c>
      <x:c r="C38" s="398" t="n">
        <x:f>COUNTIF('04_원본응답'!$E$2:$E$101,"OTT (예: 넷플릭스 등), 쇼핑 멤버십 (예 : 네이버+ 멤버십 등), 통신사 결합상품·구독 혜택")</x:f>
        <x:v>2</x:v>
      </x:c>
      <x:c r="D38" s="382" t="str">
        <x:v>원본 조합과 정확히 일치하는 응답 수</x:v>
      </x:c>
    </x:row>
    <x:row r="39" ht="38" customHeight="1">
      <x:c r="A39" s="397" t="str">
        <x:v>E</x:v>
      </x:c>
      <x:c r="B39" s="382" t="str">
        <x:v>OTT (예: 넷플릭스 등), 음악·전자책·콘텐츠 (예 : Melon 등), 쇼핑 멤버십 (예 : 네이버+ 멤버십 등), 통신사 결합상품·구독 혜택</x:v>
      </x:c>
      <x:c r="C39" s="398" t="n">
        <x:f>COUNTIF('04_원본응답'!$E$2:$E$101,"OTT (예: 넷플릭스 등), 음악·전자책·콘텐츠 (예 : Melon 등), 쇼핑 멤버십 (예 : 네이버+ 멤버십 등), 통신사 결합상품·구독 혜택")</x:f>
        <x:v>1</x:v>
      </x:c>
      <x:c r="D39" s="382" t="str">
        <x:v>원본 조합과 정확히 일치하는 응답 수</x:v>
      </x:c>
    </x:row>
    <x:row r="40" ht="38" customHeight="1">
      <x:c r="A40" s="397" t="str">
        <x:v>E</x:v>
      </x:c>
      <x:c r="B40" s="382" t="str">
        <x:v>OTT (예: 넷플릭스 등), 생성형 AI (예: GPT 등), 음악·전자책·콘텐츠 (예 : Melon 등), 쇼핑 멤버십 (예 : 네이버+ 멤버십 등)</x:v>
      </x:c>
      <x:c r="C40" s="398" t="n">
        <x:f>COUNTIF('04_원본응답'!$E$2:$E$101,"OTT (예: 넷플릭스 등), 생성형 AI (예: GPT 등), 음악·전자책·콘텐츠 (예 : Melon 등), 쇼핑 멤버십 (예 : 네이버+ 멤버십 등)")</x:f>
        <x:v>4</x:v>
      </x:c>
      <x:c r="D40" s="382" t="str">
        <x:v>원본 조합과 정확히 일치하는 응답 수</x:v>
      </x:c>
    </x:row>
    <x:row r="41" ht="38" customHeight="1">
      <x:c r="A41" s="397" t="str">
        <x:v>E</x:v>
      </x:c>
      <x:c r="B41" s="382" t="str">
        <x:v>음악·전자책·콘텐츠 (예 : Melon 등), 배달 멤버십 (예: 배민클럽 등)</x:v>
      </x:c>
      <x:c r="C41" s="398" t="n">
        <x:f>COUNTIF('04_원본응답'!$E$2:$E$101,"음악·전자책·콘텐츠 (예 : Melon 등), 배달 멤버십 (예: 배민클럽 등)")</x:f>
        <x:v>1</x:v>
      </x:c>
      <x:c r="D41" s="382" t="str">
        <x:v>원본 조합과 정확히 일치하는 응답 수</x:v>
      </x:c>
    </x:row>
    <x:row r="42" ht="38" customHeight="1">
      <x:c r="A42" s="397" t="str">
        <x:v>E</x:v>
      </x:c>
      <x:c r="B42" s="382" t="str">
        <x:v>OTT (예: 넷플릭스 등), 쇼핑 멤버십 (예 : 네이버+ 멤버십 등), 배달 멤버십 (예: 배민클럽 등), 통신사 결합상품·구독 혜택</x:v>
      </x:c>
      <x:c r="C42" s="398" t="n">
        <x:f>COUNTIF('04_원본응답'!$E$2:$E$101,"OTT (예: 넷플릭스 등), 쇼핑 멤버십 (예 : 네이버+ 멤버십 등), 배달 멤버십 (예: 배민클럽 등), 통신사 결합상품·구독 혜택")</x:f>
        <x:v>1</x:v>
      </x:c>
      <x:c r="D42" s="382" t="str">
        <x:v>원본 조합과 정확히 일치하는 응답 수</x:v>
      </x:c>
    </x:row>
    <x:row r="43" ht="38" customHeight="1">
      <x:c r="A43" s="397" t="str">
        <x:v>E</x:v>
      </x:c>
      <x:c r="B43" s="382" t="str">
        <x:v>OTT (예: 넷플릭스 등), 쇼핑 멤버십 (예 : 네이버+ 멤버십 등), 배달 멤버십 (예: 배민클럽 등), T우주패스,쿠팡멤버십,티빙등등</x:v>
      </x:c>
      <x:c r="C43" s="398" t="n">
        <x:f>COUNTIF('04_원본응답'!$E$2:$E$101,"OTT (예: 넷플릭스 등), 쇼핑 멤버십 (예 : 네이버+ 멤버십 등), 배달 멤버십 (예: 배민클럽 등), T우주패스,쿠팡멤버십,티빙등등")</x:f>
        <x:v>1</x:v>
      </x:c>
      <x:c r="D43" s="382" t="str">
        <x:v>원본 조합과 정확히 일치하는 응답 수</x:v>
      </x:c>
    </x:row>
    <x:row r="44" ht="38" customHeight="1">
      <x:c r="A44" s="397" t="str">
        <x:v>E</x:v>
      </x:c>
      <x:c r="B44" s="382" t="str">
        <x:v>OTT (예: 넷플릭스 등), 생성형 AI (예: GPT 등), 음악·전자책·콘텐츠 (예 : Melon 등), 쇼핑 멤버십 (예 : 네이버+ 멤버십 등), 게임 패스 (예 : Xbox gamepass 등), 클라우드·생산성 툴 (예: icloud / notion 등), 통신사 결합상품·구독 혜택</x:v>
      </x:c>
      <x:c r="C44" s="398" t="n">
        <x:f>COUNTIF('04_원본응답'!$E$2:$E$101,"OTT (예: 넷플릭스 등), 생성형 AI (예: GPT 등), 음악·전자책·콘텐츠 (예 : Melon 등), 쇼핑 멤버십 (예 : 네이버+ 멤버십 등), 게임 패스 (예 : Xbox gamepass 등), 클라우드·생산성 툴 (예: icloud / notion 등), 통신사 결합상품·구독 혜택")</x:f>
        <x:v>1</x:v>
      </x:c>
      <x:c r="D44" s="382" t="str">
        <x:v>원본 조합과 정확히 일치하는 응답 수</x:v>
      </x:c>
    </x:row>
    <x:row r="45" ht="38" customHeight="1">
      <x:c r="A45" s="397" t="str">
        <x:v>E</x:v>
      </x:c>
      <x:c r="B45" s="382" t="str">
        <x:v>OTT (예: 넷플릭스 등), 배달 멤버십 (예: 배민클럽 등), 클라우드·생산성 툴 (예: icloud / notion 등)</x:v>
      </x:c>
      <x:c r="C45" s="398" t="n">
        <x:f>COUNTIF('04_원본응답'!$E$2:$E$101,"OTT (예: 넷플릭스 등), 배달 멤버십 (예: 배민클럽 등), 클라우드·생산성 툴 (예: icloud / notion 등)")</x:f>
        <x:v>1</x:v>
      </x:c>
      <x:c r="D45" s="382" t="str">
        <x:v>원본 조합과 정확히 일치하는 응답 수</x:v>
      </x:c>
    </x:row>
    <x:row r="46" ht="38" customHeight="1">
      <x:c r="A46" s="397" t="str">
        <x:v>E</x:v>
      </x:c>
      <x:c r="B46" s="382" t="str">
        <x:v>OTT (예: 넷플릭스 등), 음악·전자책·콘텐츠 (예 : Melon 등)</x:v>
      </x:c>
      <x:c r="C46" s="398" t="n">
        <x:f>COUNTIF('04_원본응답'!$E$2:$E$101,"OTT (예: 넷플릭스 등), 음악·전자책·콘텐츠 (예 : Melon 등)")</x:f>
        <x:v>3</x:v>
      </x:c>
      <x:c r="D46" s="382" t="str">
        <x:v>원본 조합과 정확히 일치하는 응답 수</x:v>
      </x:c>
    </x:row>
    <x:row r="47" ht="38" customHeight="1">
      <x:c r="A47" s="397" t="str">
        <x:v>E</x:v>
      </x:c>
      <x:c r="B47" s="382" t="str">
        <x:v>OTT (예: 넷플릭스 등), 음악·전자책·콘텐츠 (예 : Melon 등), 쇼핑 멤버십 (예 : 네이버+ 멤버십 등), 배달 멤버십 (예: 배민클럽 등), 통신사 결합상품·구독 혜택</x:v>
      </x:c>
      <x:c r="C47" s="398" t="n">
        <x:f>COUNTIF('04_원본응답'!$E$2:$E$101,"OTT (예: 넷플릭스 등), 음악·전자책·콘텐츠 (예 : Melon 등), 쇼핑 멤버십 (예 : 네이버+ 멤버십 등), 배달 멤버십 (예: 배민클럽 등), 통신사 결합상품·구독 혜택")</x:f>
        <x:v>2</x:v>
      </x:c>
      <x:c r="D47" s="382" t="str">
        <x:v>원본 조합과 정확히 일치하는 응답 수</x:v>
      </x:c>
    </x:row>
    <x:row r="48" ht="38" customHeight="1">
      <x:c r="A48" s="397" t="str">
        <x:v>E</x:v>
      </x:c>
      <x:c r="B48" s="382" t="str">
        <x:v>음악·전자책·콘텐츠 (예 : Melon 등), 클라우드·생산성 툴 (예: icloud / notion 등)</x:v>
      </x:c>
      <x:c r="C48" s="398" t="n">
        <x:f>COUNTIF('04_원본응답'!$E$2:$E$101,"음악·전자책·콘텐츠 (예 : Melon 등), 클라우드·생산성 툴 (예: icloud / notion 등)")</x:f>
        <x:v>1</x:v>
      </x:c>
      <x:c r="D48" s="382" t="str">
        <x:v>원본 조합과 정확히 일치하는 응답 수</x:v>
      </x:c>
    </x:row>
    <x:row r="49" ht="38" customHeight="1">
      <x:c r="A49" s="397" t="str">
        <x:v>E</x:v>
      </x:c>
      <x:c r="B49" s="382" t="str">
        <x:v>OTT (예: 넷플릭스 등), 음악·전자책·콘텐츠 (예 : Melon 등), 배달 멤버십 (예: 배민클럽 등), 클라우드·생산성 툴 (예: icloud / notion 등)</x:v>
      </x:c>
      <x:c r="C49" s="398" t="n">
        <x:f>COUNTIF('04_원본응답'!$E$2:$E$101,"OTT (예: 넷플릭스 등), 음악·전자책·콘텐츠 (예 : Melon 등), 배달 멤버십 (예: 배민클럽 등), 클라우드·생산성 툴 (예: icloud / notion 등)")</x:f>
        <x:v>1</x:v>
      </x:c>
      <x:c r="D49" s="382" t="str">
        <x:v>원본 조합과 정확히 일치하는 응답 수</x:v>
      </x:c>
    </x:row>
    <x:row r="50" ht="38" customHeight="1">
      <x:c r="A50" s="397" t="str">
        <x:v>E</x:v>
      </x:c>
      <x:c r="B50" s="382" t="str">
        <x:v>생성형 AI (예: GPT 등), 배달 멤버십 (예: 배민클럽 등), 유튜브</x:v>
      </x:c>
      <x:c r="C50" s="398" t="n">
        <x:f>COUNTIF('04_원본응답'!$E$2:$E$101,"생성형 AI (예: GPT 등), 배달 멤버십 (예: 배민클럽 등), 유튜브")</x:f>
        <x:v>1</x:v>
      </x:c>
      <x:c r="D50" s="382" t="str">
        <x:v>원본 조합과 정확히 일치하는 응답 수</x:v>
      </x:c>
    </x:row>
    <x:row r="51" ht="38" customHeight="1">
      <x:c r="A51" s="397" t="str">
        <x:v>E</x:v>
      </x:c>
      <x:c r="B51" s="382" t="str">
        <x:v>생성형 AI (예: GPT 등), 쇼핑 멤버십 (예 : 네이버+ 멤버십 등)</x:v>
      </x:c>
      <x:c r="C51" s="398" t="n">
        <x:f>COUNTIF('04_원본응답'!$E$2:$E$101,"생성형 AI (예: GPT 등), 쇼핑 멤버십 (예 : 네이버+ 멤버십 등)")</x:f>
        <x:v>2</x:v>
      </x:c>
      <x:c r="D51" s="382" t="str">
        <x:v>원본 조합과 정확히 일치하는 응답 수</x:v>
      </x:c>
    </x:row>
    <x:row r="52" ht="38" customHeight="1">
      <x:c r="A52" s="397" t="str">
        <x:v>E</x:v>
      </x:c>
      <x:c r="B52" s="382" t="str">
        <x:v>OTT (예: 넷플릭스 등), 쇼핑 멤버십 (예 : 네이버+ 멤버십 등), 배달 멤버십 (예: 배민클럽 등)</x:v>
      </x:c>
      <x:c r="C52" s="398" t="n">
        <x:f>COUNTIF('04_원본응답'!$E$2:$E$101,"OTT (예: 넷플릭스 등), 쇼핑 멤버십 (예 : 네이버+ 멤버십 등), 배달 멤버십 (예: 배민클럽 등)")</x:f>
        <x:v>2</x:v>
      </x:c>
      <x:c r="D52" s="382" t="str">
        <x:v>원본 조합과 정확히 일치하는 응답 수</x:v>
      </x:c>
    </x:row>
    <x:row r="53" ht="38" customHeight="1">
      <x:c r="A53" s="397" t="str">
        <x:v>E</x:v>
      </x:c>
      <x:c r="B53" s="382" t="str">
        <x:v>OTT (예: 넷플릭스 등), 쇼핑 멤버십 (예 : 네이버+ 멤버십 등), 클라우드·생산성 툴 (예: icloud / notion 등)</x:v>
      </x:c>
      <x:c r="C53" s="398" t="n">
        <x:f>COUNTIF('04_원본응답'!$E$2:$E$101,"OTT (예: 넷플릭스 등), 쇼핑 멤버십 (예 : 네이버+ 멤버십 등), 클라우드·생산성 툴 (예: icloud / notion 등)")</x:f>
        <x:v>1</x:v>
      </x:c>
      <x:c r="D53" s="382" t="str">
        <x:v>원본 조합과 정확히 일치하는 응답 수</x:v>
      </x:c>
    </x:row>
    <x:row r="54" ht="38" customHeight="1">
      <x:c r="A54" s="397" t="str">
        <x:v>E</x:v>
      </x:c>
      <x:c r="B54" s="382" t="str">
        <x:v>OTT (예: 넷플릭스 등), 생성형 AI (예: GPT 등), 클라우드·생산성 툴 (예: icloud / notion 등), 통신사 결합상품·구독 혜택, 퍼블리</x:v>
      </x:c>
      <x:c r="C54" s="398" t="n">
        <x:f>COUNTIF('04_원본응답'!$E$2:$E$101,"OTT (예: 넷플릭스 등), 생성형 AI (예: GPT 등), 클라우드·생산성 툴 (예: icloud / notion 등), 통신사 결합상품·구독 혜택, 퍼블리")</x:f>
        <x:v>1</x:v>
      </x:c>
      <x:c r="D54" s="382" t="str">
        <x:v>원본 조합과 정확히 일치하는 응답 수</x:v>
      </x:c>
    </x:row>
    <x:row r="55" ht="38" customHeight="1">
      <x:c r="A55" s="397" t="str">
        <x:v>E</x:v>
      </x:c>
      <x:c r="B55" s="382" t="str">
        <x:v>OTT (예: 넷플릭스 등), 게임 패스 (예 : Xbox gamepass 등)</x:v>
      </x:c>
      <x:c r="C55" s="398" t="n">
        <x:f>COUNTIF('04_원본응답'!$E$2:$E$101,"OTT (예: 넷플릭스 등), 게임 패스 (예 : Xbox gamepass 등)")</x:f>
        <x:v>1</x:v>
      </x:c>
      <x:c r="D55" s="382" t="str">
        <x:v>원본 조합과 정확히 일치하는 응답 수</x:v>
      </x:c>
    </x:row>
    <x:row r="56" ht="38" customHeight="1">
      <x:c r="A56" s="397" t="str">
        <x:v>E</x:v>
      </x:c>
      <x:c r="B56" s="382" t="str">
        <x:v>생성형 AI (예: GPT 등), 쇼핑 멤버십 (예 : 네이버+ 멤버십 등), 디스코드</x:v>
      </x:c>
      <x:c r="C56" s="398" t="n">
        <x:f>COUNTIF('04_원본응답'!$E$2:$E$101,"생성형 AI (예: GPT 등), 쇼핑 멤버십 (예 : 네이버+ 멤버십 등), 디스코드")</x:f>
        <x:v>1</x:v>
      </x:c>
      <x:c r="D56" s="382" t="str">
        <x:v>원본 조합과 정확히 일치하는 응답 수</x:v>
      </x:c>
    </x:row>
    <x:row r="57" ht="38" customHeight="1">
      <x:c r="A57" s="397" t="str">
        <x:v>E</x:v>
      </x:c>
      <x:c r="B57" s="382" t="str">
        <x:v>OTT (예: 넷플릭스 등), 생성형 AI (예: GPT 등), 음악·전자책·콘텐츠 (예 : Melon 등), 쇼핑 멤버십 (예 : 네이버+ 멤버십 등), 클라우드·생산성 툴 (예: icloud / notion 등)</x:v>
      </x:c>
      <x:c r="C57" s="398" t="n">
        <x:f>COUNTIF('04_원본응답'!$E$2:$E$101,"OTT (예: 넷플릭스 등), 생성형 AI (예: GPT 등), 음악·전자책·콘텐츠 (예 : Melon 등), 쇼핑 멤버십 (예 : 네이버+ 멤버십 등), 클라우드·생산성 툴 (예: icloud / notion 등)")</x:f>
        <x:v>1</x:v>
      </x:c>
      <x:c r="D57" s="382" t="str">
        <x:v>원본 조합과 정확히 일치하는 응답 수</x:v>
      </x:c>
    </x:row>
    <x:row r="58" ht="38" customHeight="1">
      <x:c r="A58" s="397" t="str">
        <x:v>E</x:v>
      </x:c>
      <x:c r="B58" s="382" t="str">
        <x:v>OTT (예: 넷플릭스 등), 음악·전자책·콘텐츠 (예 : Melon 등), 클라우드·생산성 툴 (예: icloud / notion 등), 어도비</x:v>
      </x:c>
      <x:c r="C58" s="398" t="n">
        <x:f>COUNTIF('04_원본응답'!$E$2:$E$101,"OTT (예: 넷플릭스 등), 음악·전자책·콘텐츠 (예 : Melon 등), 클라우드·생산성 툴 (예: icloud / notion 등), 어도비")</x:f>
        <x:v>1</x:v>
      </x:c>
      <x:c r="D58" s="382" t="str">
        <x:v>원본 조합과 정확히 일치하는 응답 수</x:v>
      </x:c>
    </x:row>
    <x:row r="59" ht="38" customHeight="1">
      <x:c r="A59" s="397" t="str">
        <x:v>E</x:v>
      </x:c>
      <x:c r="B59" s="382" t="str">
        <x:v>OTT (예: 넷플릭스 등), 음악·전자책·콘텐츠 (예 : Melon 등), 쇼핑 멤버십 (예 : 네이버+ 멤버십 등), 클라우드·생산성 툴 (예: icloud / notion 등)</x:v>
      </x:c>
      <x:c r="C59" s="398" t="n">
        <x:f>COUNTIF('04_원본응답'!$E$2:$E$101,"OTT (예: 넷플릭스 등), 음악·전자책·콘텐츠 (예 : Melon 등), 쇼핑 멤버십 (예 : 네이버+ 멤버십 등), 클라우드·생산성 툴 (예: icloud / notion 등)")</x:f>
        <x:v>1</x:v>
      </x:c>
      <x:c r="D59" s="382" t="str">
        <x:v>원본 조합과 정확히 일치하는 응답 수</x:v>
      </x:c>
    </x:row>
    <x:row r="60" ht="38" customHeight="1">
      <x:c r="A60" s="397" t="str">
        <x:v>E</x:v>
      </x:c>
      <x:c r="B60" s="382" t="str">
        <x:v>쇼핑 멤버십 (예 : 네이버+ 멤버십 등)</x:v>
      </x:c>
      <x:c r="C60" s="398" t="n">
        <x:f>COUNTIF('04_원본응답'!$E$2:$E$101,"쇼핑 멤버십 (예 : 네이버+ 멤버십 등)")</x:f>
        <x:v>1</x:v>
      </x:c>
      <x:c r="D60" s="382" t="str">
        <x:v>원본 조합과 정확히 일치하는 응답 수</x:v>
      </x:c>
    </x:row>
    <x:row r="61" ht="38" customHeight="1">
      <x:c r="A61" s="397" t="str">
        <x:v>E</x:v>
      </x:c>
      <x:c r="B61" s="382" t="str">
        <x:v>OTT (예: 넷플릭스 등), 음악·전자책·콘텐츠 (예 : Melon 등), 클라우드·생산성 툴 (예: icloud / notion 등), 통신사 결합상품·구독 혜택</x:v>
      </x:c>
      <x:c r="C61" s="398" t="n">
        <x:f>COUNTIF('04_원본응답'!$E$2:$E$101,"OTT (예: 넷플릭스 등), 음악·전자책·콘텐츠 (예 : Melon 등), 클라우드·생산성 툴 (예: icloud / notion 등), 통신사 결합상품·구독 혜택")</x:f>
        <x:v>1</x:v>
      </x:c>
      <x:c r="D61" s="382" t="str">
        <x:v>원본 조합과 정확히 일치하는 응답 수</x:v>
      </x:c>
    </x:row>
    <x:row r="62" ht="38" customHeight="1">
      <x:c r="A62" s="397" t="str">
        <x:v>E</x:v>
      </x:c>
      <x:c r="B62" s="382" t="str">
        <x:v>생성형 AI (예: GPT 등), 쇼핑 멤버십 (예 : 네이버+ 멤버십 등), 통신사 결합상품·구독 혜택</x:v>
      </x:c>
      <x:c r="C62" s="398" t="n">
        <x:f>COUNTIF('04_원본응답'!$E$2:$E$101,"생성형 AI (예: GPT 등), 쇼핑 멤버십 (예 : 네이버+ 멤버십 등), 통신사 결합상품·구독 혜택")</x:f>
        <x:v>1</x:v>
      </x:c>
      <x:c r="D62" s="382" t="str">
        <x:v>원본 조합과 정확히 일치하는 응답 수</x:v>
      </x:c>
    </x:row>
    <x:row r="63" ht="38" customHeight="1">
      <x:c r="A63" s="397" t="str">
        <x:v>E</x:v>
      </x:c>
      <x:c r="B63" s="382" t="str">
        <x:v>OTT (예: 넷플릭스 등), 음악·전자책·콘텐츠 (예 : Melon 등), SNS구독(카카오톡이모티콘플러스),보정어플</x:v>
      </x:c>
      <x:c r="C63" s="398" t="n">
        <x:f>COUNTIF('04_원본응답'!$E$2:$E$101,"OTT (예: 넷플릭스 등), 음악·전자책·콘텐츠 (예 : Melon 등), SNS구독(카카오톡이모티콘플러스),보정어플")</x:f>
        <x:v>1</x:v>
      </x:c>
      <x:c r="D63" s="382" t="str">
        <x:v>원본 조합과 정확히 일치하는 응답 수</x:v>
      </x:c>
    </x:row>
    <x:row r="64" ht="38" customHeight="1">
      <x:c r="A64" s="397" t="str">
        <x:v>E</x:v>
      </x:c>
      <x:c r="B64" s="382" t="str">
        <x:v>생성형 AI (예: GPT 등), 음악·전자책·콘텐츠 (예 : Melon 등), 클라우드·생산성 툴 (예: icloud / notion 등)</x:v>
      </x:c>
      <x:c r="C64" s="398" t="n">
        <x:f>COUNTIF('04_원본응답'!$E$2:$E$101,"생성형 AI (예: GPT 등), 음악·전자책·콘텐츠 (예 : Melon 등), 클라우드·생산성 툴 (예: icloud / notion 등)")</x:f>
        <x:v>1</x:v>
      </x:c>
      <x:c r="D64" s="382" t="str">
        <x:v>원본 조합과 정확히 일치하는 응답 수</x:v>
      </x:c>
    </x:row>
    <x:row r="65" ht="38" customHeight="1">
      <x:c r="A65" s="397" t="str">
        <x:v>E</x:v>
      </x:c>
      <x:c r="B65" s="382" t="str">
        <x:v>OTT (예: 넷플릭스 등), 생성형 AI (예: GPT 등), 음악·전자책·콘텐츠 (예 : Melon 등), 통신사 결합상품·구독 혜택</x:v>
      </x:c>
      <x:c r="C65" s="398" t="n">
        <x:f>COUNTIF('04_원본응답'!$E$2:$E$101,"OTT (예: 넷플릭스 등), 생성형 AI (예: GPT 등), 음악·전자책·콘텐츠 (예 : Melon 등), 통신사 결합상품·구독 혜택")</x:f>
        <x:v>1</x:v>
      </x:c>
      <x:c r="D65" s="382" t="str">
        <x:v>원본 조합과 정확히 일치하는 응답 수</x:v>
      </x:c>
    </x:row>
    <x:row r="66" ht="38" customHeight="1">
      <x:c r="A66" s="397" t="str">
        <x:v>M</x:v>
      </x:c>
      <x:c r="B66" s="382" t="str">
        <x:v>기억에 의존, 결제 문자·푸시 알림</x:v>
      </x:c>
      <x:c r="C66" s="398" t="n">
        <x:f>COUNTIF('04_원본응답'!$M$2:$M$101,"기억에 의존, 결제 문자·푸시 알림")</x:f>
        <x:v>4</x:v>
      </x:c>
      <x:c r="D66" s="382" t="str">
        <x:v>원본 조합과 정확히 일치하는 응답 수</x:v>
      </x:c>
    </x:row>
    <x:row r="67" ht="38" customHeight="1">
      <x:c r="A67" s="397" t="str">
        <x:v>M</x:v>
      </x:c>
      <x:c r="B67" s="382" t="str">
        <x:v>따로 관리하지 않음, 결제 문자·푸시 알림, 카드·은행 앱 확인</x:v>
      </x:c>
      <x:c r="C67" s="398" t="n">
        <x:f>COUNTIF('04_원본응답'!$M$2:$M$101,"따로 관리하지 않음, 결제 문자·푸시 알림, 카드·은행 앱 확인")</x:f>
        <x:v>2</x:v>
      </x:c>
      <x:c r="D67" s="382" t="str">
        <x:v>원본 조합과 정확히 일치하는 응답 수</x:v>
      </x:c>
    </x:row>
    <x:row r="68" ht="38" customHeight="1">
      <x:c r="A68" s="397" t="str">
        <x:v>M</x:v>
      </x:c>
      <x:c r="B68" s="382" t="str">
        <x:v>기억에 의존, 결제 문자·푸시 알림, 각 서비스 앱 확인, 카드·은행 앱 확인</x:v>
      </x:c>
      <x:c r="C68" s="398" t="n">
        <x:f>COUNTIF('04_원본응답'!$M$2:$M$101,"기억에 의존, 결제 문자·푸시 알림, 각 서비스 앱 확인, 카드·은행 앱 확인")</x:f>
        <x:v>2</x:v>
      </x:c>
      <x:c r="D68" s="382" t="str">
        <x:v>원본 조합과 정확히 일치하는 응답 수</x:v>
      </x:c>
    </x:row>
    <x:row r="69" ht="38" customHeight="1">
      <x:c r="A69" s="397" t="str">
        <x:v>M</x:v>
      </x:c>
      <x:c r="B69" s="382" t="str">
        <x:v>기억에 의존, 메모·노션·엑셀</x:v>
      </x:c>
      <x:c r="C69" s="398" t="n">
        <x:f>COUNTIF('04_원본응답'!$M$2:$M$101,"기억에 의존, 메모·노션·엑셀")</x:f>
        <x:v>1</x:v>
      </x:c>
      <x:c r="D69" s="382" t="str">
        <x:v>원본 조합과 정확히 일치하는 응답 수</x:v>
      </x:c>
    </x:row>
    <x:row r="70" ht="38" customHeight="1">
      <x:c r="A70" s="397" t="str">
        <x:v>M</x:v>
      </x:c>
      <x:c r="B70" s="382" t="str">
        <x:v>따로 관리하지 않음</x:v>
      </x:c>
      <x:c r="C70" s="398" t="n">
        <x:f>COUNTIF('04_원본응답'!$M$2:$M$101,"따로 관리하지 않음")</x:f>
        <x:v>22</x:v>
      </x:c>
      <x:c r="D70" s="382" t="str">
        <x:v>원본 조합과 정확히 일치하는 응답 수</x:v>
      </x:c>
    </x:row>
    <x:row r="71" ht="38" customHeight="1">
      <x:c r="A71" s="397" t="str">
        <x:v>M</x:v>
      </x:c>
      <x:c r="B71" s="382" t="str">
        <x:v>따로 관리하지 않음, 결제 문자·푸시 알림</x:v>
      </x:c>
      <x:c r="C71" s="398" t="n">
        <x:f>COUNTIF('04_원본응답'!$M$2:$M$101,"따로 관리하지 않음, 결제 문자·푸시 알림")</x:f>
        <x:v>7</x:v>
      </x:c>
      <x:c r="D71" s="382" t="str">
        <x:v>원본 조합과 정확히 일치하는 응답 수</x:v>
      </x:c>
    </x:row>
    <x:row r="72" ht="38" customHeight="1">
      <x:c r="A72" s="397" t="str">
        <x:v>M</x:v>
      </x:c>
      <x:c r="B72" s="382" t="str">
        <x:v>결제 문자·푸시 알림, 각 서비스 앱 확인</x:v>
      </x:c>
      <x:c r="C72" s="398" t="n">
        <x:f>COUNTIF('04_원본응답'!$M$2:$M$101,"결제 문자·푸시 알림, 각 서비스 앱 확인")</x:f>
        <x:v>6</x:v>
      </x:c>
      <x:c r="D72" s="382" t="str">
        <x:v>원본 조합과 정확히 일치하는 응답 수</x:v>
      </x:c>
    </x:row>
    <x:row r="73" ht="38" customHeight="1">
      <x:c r="A73" s="397" t="str">
        <x:v>M</x:v>
      </x:c>
      <x:c r="B73" s="382" t="str">
        <x:v>기억에 의존, 캘린더</x:v>
      </x:c>
      <x:c r="C73" s="398" t="n">
        <x:f>COUNTIF('04_원본응답'!$M$2:$M$101,"기억에 의존, 캘린더")</x:f>
        <x:v>1</x:v>
      </x:c>
      <x:c r="D73" s="382" t="str">
        <x:v>원본 조합과 정확히 일치하는 응답 수</x:v>
      </x:c>
    </x:row>
    <x:row r="74" ht="38" customHeight="1">
      <x:c r="A74" s="397" t="str">
        <x:v>M</x:v>
      </x:c>
      <x:c r="B74" s="382" t="str">
        <x:v>결제 문자·푸시 알림, 각 서비스 앱 확인, 캘린더, 메모·노션·엑셀</x:v>
      </x:c>
      <x:c r="C74" s="398" t="n">
        <x:f>COUNTIF('04_원본응답'!$M$2:$M$101,"결제 문자·푸시 알림, 각 서비스 앱 확인, 캘린더, 메모·노션·엑셀")</x:f>
        <x:v>1</x:v>
      </x:c>
      <x:c r="D74" s="382" t="str">
        <x:v>원본 조합과 정확히 일치하는 응답 수</x:v>
      </x:c>
    </x:row>
    <x:row r="75" ht="38" customHeight="1">
      <x:c r="A75" s="397" t="str">
        <x:v>M</x:v>
      </x:c>
      <x:c r="B75" s="382" t="str">
        <x:v>기억에 의존</x:v>
      </x:c>
      <x:c r="C75" s="398" t="n">
        <x:f>COUNTIF('04_원본응답'!$M$2:$M$101,"기억에 의존")</x:f>
        <x:v>4</x:v>
      </x:c>
      <x:c r="D75" s="382" t="str">
        <x:v>원본 조합과 정확히 일치하는 응답 수</x:v>
      </x:c>
    </x:row>
    <x:row r="76" ht="38" customHeight="1">
      <x:c r="A76" s="397" t="str">
        <x:v>M</x:v>
      </x:c>
      <x:c r="B76" s="382" t="str">
        <x:v>카드·은행 앱 확인</x:v>
      </x:c>
      <x:c r="C76" s="398" t="n">
        <x:f>COUNTIF('04_원본응답'!$M$2:$M$101,"카드·은행 앱 확인")</x:f>
        <x:v>2</x:v>
      </x:c>
      <x:c r="D76" s="382" t="str">
        <x:v>원본 조합과 정확히 일치하는 응답 수</x:v>
      </x:c>
    </x:row>
    <x:row r="77" ht="38" customHeight="1">
      <x:c r="A77" s="397" t="str">
        <x:v>M</x:v>
      </x:c>
      <x:c r="B77" s="382" t="str">
        <x:v>기억에 의존, 각 서비스 앱 확인</x:v>
      </x:c>
      <x:c r="C77" s="398" t="n">
        <x:f>COUNTIF('04_원본응답'!$M$2:$M$101,"기억에 의존, 각 서비스 앱 확인")</x:f>
        <x:v>1</x:v>
      </x:c>
      <x:c r="D77" s="382" t="str">
        <x:v>원본 조합과 정확히 일치하는 응답 수</x:v>
      </x:c>
    </x:row>
    <x:row r="78" ht="38" customHeight="1">
      <x:c r="A78" s="397" t="str">
        <x:v>M</x:v>
      </x:c>
      <x:c r="B78" s="382" t="str">
        <x:v>결제 문자·푸시 알림, 캘린더</x:v>
      </x:c>
      <x:c r="C78" s="398" t="n">
        <x:f>COUNTIF('04_원본응답'!$M$2:$M$101,"결제 문자·푸시 알림, 캘린더")</x:f>
        <x:v>3</x:v>
      </x:c>
      <x:c r="D78" s="382" t="str">
        <x:v>원본 조합과 정확히 일치하는 응답 수</x:v>
      </x:c>
    </x:row>
    <x:row r="79" ht="38" customHeight="1">
      <x:c r="A79" s="397" t="str">
        <x:v>M</x:v>
      </x:c>
      <x:c r="B79" s="382" t="str">
        <x:v>캘린더</x:v>
      </x:c>
      <x:c r="C79" s="398" t="n">
        <x:f>COUNTIF('04_원본응답'!$M$2:$M$101,"캘린더")</x:f>
        <x:v>6</x:v>
      </x:c>
      <x:c r="D79" s="382" t="str">
        <x:v>원본 조합과 정확히 일치하는 응답 수</x:v>
      </x:c>
    </x:row>
    <x:row r="80" ht="38" customHeight="1">
      <x:c r="A80" s="397" t="str">
        <x:v>M</x:v>
      </x:c>
      <x:c r="B80" s="382" t="str">
        <x:v>결제 문자·푸시 알림</x:v>
      </x:c>
      <x:c r="C80" s="398" t="n">
        <x:f>COUNTIF('04_원본응답'!$M$2:$M$101,"결제 문자·푸시 알림")</x:f>
        <x:v>15</x:v>
      </x:c>
      <x:c r="D80" s="382" t="str">
        <x:v>원본 조합과 정확히 일치하는 응답 수</x:v>
      </x:c>
    </x:row>
    <x:row r="81" ht="38" customHeight="1">
      <x:c r="A81" s="397" t="str">
        <x:v>M</x:v>
      </x:c>
      <x:c r="B81" s="382" t="str">
        <x:v>핸드폰 내 알람 기능</x:v>
      </x:c>
      <x:c r="C81" s="398" t="n">
        <x:f>COUNTIF('04_원본응답'!$M$2:$M$101,"핸드폰 내 알람 기능")</x:f>
        <x:v>1</x:v>
      </x:c>
      <x:c r="D81" s="382" t="str">
        <x:v>원본 조합과 정확히 일치하는 응답 수</x:v>
      </x:c>
    </x:row>
    <x:row r="82" ht="38" customHeight="1">
      <x:c r="A82" s="397" t="str">
        <x:v>M</x:v>
      </x:c>
      <x:c r="B82" s="382" t="str">
        <x:v>결제 문자·푸시 알림, 가족·친구가 관리</x:v>
      </x:c>
      <x:c r="C82" s="398" t="n">
        <x:f>COUNTIF('04_원본응답'!$M$2:$M$101,"결제 문자·푸시 알림, 가족·친구가 관리")</x:f>
        <x:v>1</x:v>
      </x:c>
      <x:c r="D82" s="382" t="str">
        <x:v>원본 조합과 정확히 일치하는 응답 수</x:v>
      </x:c>
    </x:row>
    <x:row r="83" ht="38" customHeight="1">
      <x:c r="A83" s="397" t="str">
        <x:v>M</x:v>
      </x:c>
      <x:c r="B83" s="382" t="str">
        <x:v>기억에 의존, 결제 문자·푸시 알림, 가족·친구가 관리</x:v>
      </x:c>
      <x:c r="C83" s="398" t="n">
        <x:f>COUNTIF('04_원본응답'!$M$2:$M$101,"기억에 의존, 결제 문자·푸시 알림, 가족·친구가 관리")</x:f>
        <x:v>1</x:v>
      </x:c>
      <x:c r="D83" s="382" t="str">
        <x:v>원본 조합과 정확히 일치하는 응답 수</x:v>
      </x:c>
    </x:row>
    <x:row r="84" ht="38" customHeight="1">
      <x:c r="A84" s="397" t="str">
        <x:v>M</x:v>
      </x:c>
      <x:c r="B84" s="382" t="str">
        <x:v>메모·노션·엑셀</x:v>
      </x:c>
      <x:c r="C84" s="398" t="n">
        <x:f>COUNTIF('04_원본응답'!$M$2:$M$101,"메모·노션·엑셀")</x:f>
        <x:v>3</x:v>
      </x:c>
      <x:c r="D84" s="382" t="str">
        <x:v>원본 조합과 정확히 일치하는 응답 수</x:v>
      </x:c>
    </x:row>
    <x:row r="85" ht="38" customHeight="1">
      <x:c r="A85" s="397" t="str">
        <x:v>M</x:v>
      </x:c>
      <x:c r="B85" s="382" t="str">
        <x:v>각 서비스 앱 확인</x:v>
      </x:c>
      <x:c r="C85" s="398" t="n">
        <x:f>COUNTIF('04_원본응답'!$M$2:$M$101,"각 서비스 앱 확인")</x:f>
        <x:v>1</x:v>
      </x:c>
      <x:c r="D85" s="382" t="str">
        <x:v>원본 조합과 정확히 일치하는 응답 수</x:v>
      </x:c>
    </x:row>
    <x:row r="86" ht="38" customHeight="1">
      <x:c r="A86" s="397" t="str">
        <x:v>M</x:v>
      </x:c>
      <x:c r="B86" s="382" t="str">
        <x:v>따로 관리하지 않음, 기억에 의존, 결제 문자·푸시 알림</x:v>
      </x:c>
      <x:c r="C86" s="398" t="n">
        <x:f>COUNTIF('04_원본응답'!$M$2:$M$101,"따로 관리하지 않음, 기억에 의존, 결제 문자·푸시 알림")</x:f>
        <x:v>2</x:v>
      </x:c>
      <x:c r="D86" s="382" t="str">
        <x:v>원본 조합과 정확히 일치하는 응답 수</x:v>
      </x:c>
    </x:row>
    <x:row r="87" ht="38" customHeight="1">
      <x:c r="A87" s="397" t="str">
        <x:v>M</x:v>
      </x:c>
      <x:c r="B87" s="382" t="str">
        <x:v>따로 관리하지 않음, 각 서비스 앱 확인</x:v>
      </x:c>
      <x:c r="C87" s="398" t="n">
        <x:f>COUNTIF('04_원본응답'!$M$2:$M$101,"따로 관리하지 않음, 각 서비스 앱 확인")</x:f>
        <x:v>1</x:v>
      </x:c>
      <x:c r="D87" s="382" t="str">
        <x:v>원본 조합과 정확히 일치하는 응답 수</x:v>
      </x:c>
    </x:row>
    <x:row r="88" ht="38" customHeight="1">
      <x:c r="A88" s="397" t="str">
        <x:v>M</x:v>
      </x:c>
      <x:c r="B88" s="382" t="str">
        <x:v>결제 문자·푸시 알림, 끝나기 일주일 전 쯤 만료 예정일 알림 와요.</x:v>
      </x:c>
      <x:c r="C88" s="398" t="n">
        <x:f>COUNTIF('04_원본응답'!$M$2:$M$101,"결제 문자·푸시 알림, 끝나기 일주일 전 쯤 만료 예정일 알림 와요.")</x:f>
        <x:v>1</x:v>
      </x:c>
      <x:c r="D88" s="382" t="str">
        <x:v>원본 조합과 정확히 일치하는 응답 수</x:v>
      </x:c>
    </x:row>
    <x:row r="89" ht="38" customHeight="1">
      <x:c r="A89" s="397" t="str">
        <x:v>M</x:v>
      </x:c>
      <x:c r="B89" s="382" t="str">
        <x:v>캘린더, 메모·노션·엑셀, 아이폰 미리알림(반복 설정해놓음)</x:v>
      </x:c>
      <x:c r="C89" s="398" t="n">
        <x:f>COUNTIF('04_원본응답'!$M$2:$M$101,"캘린더, 메모·노션·엑셀, 아이폰 미리알림(반복 설정해놓음)")</x:f>
        <x:v>1</x:v>
      </x:c>
      <x:c r="D89" s="382" t="str">
        <x:v>원본 조합과 정확히 일치하는 응답 수</x:v>
      </x:c>
    </x:row>
    <x:row r="90" ht="38" customHeight="1">
      <x:c r="A90" s="397" t="str">
        <x:v>M</x:v>
      </x:c>
      <x:c r="B90" s="382" t="str">
        <x:v>기억에 의존, 결제 문자·푸시 알림, 각 서비스 앱 확인</x:v>
      </x:c>
      <x:c r="C90" s="398" t="n">
        <x:f>COUNTIF('04_원본응답'!$M$2:$M$101,"기억에 의존, 결제 문자·푸시 알림, 각 서비스 앱 확인")</x:f>
        <x:v>1</x:v>
      </x:c>
      <x:c r="D90" s="382" t="str">
        <x:v>원본 조합과 정확히 일치하는 응답 수</x:v>
      </x:c>
    </x:row>
    <x:row r="91" ht="38" customHeight="1">
      <x:c r="A91" s="397" t="str">
        <x:v>M</x:v>
      </x:c>
      <x:c r="B91" s="382" t="str">
        <x:v>기억에 의존, 각 서비스 앱 확인, 카드·은행 앱 확인</x:v>
      </x:c>
      <x:c r="C91" s="398" t="n">
        <x:f>COUNTIF('04_원본응답'!$M$2:$M$101,"기억에 의존, 각 서비스 앱 확인, 카드·은행 앱 확인")</x:f>
        <x:v>2</x:v>
      </x:c>
      <x:c r="D91" s="382" t="str">
        <x:v>원본 조합과 정확히 일치하는 응답 수</x:v>
      </x:c>
    </x:row>
    <x:row r="92" ht="38" customHeight="1">
      <x:c r="A92" s="397" t="str">
        <x:v>M</x:v>
      </x:c>
      <x:c r="B92" s="382" t="str">
        <x:v>각 서비스 앱 확인, 카드·은행 앱 확인, 캘린더</x:v>
      </x:c>
      <x:c r="C92" s="398" t="n">
        <x:f>COUNTIF('04_원본응답'!$M$2:$M$101,"각 서비스 앱 확인, 카드·은행 앱 확인, 캘린더")</x:f>
        <x:v>1</x:v>
      </x:c>
      <x:c r="D92" s="382" t="str">
        <x:v>원본 조합과 정확히 일치하는 응답 수</x:v>
      </x:c>
    </x:row>
    <x:row r="93" ht="38" customHeight="1">
      <x:c r="A93" s="397" t="str">
        <x:v>M</x:v>
      </x:c>
      <x:c r="B93" s="382" t="str">
        <x:v>결제 문자·푸시 알림, 카드·은행 앱 확인</x:v>
      </x:c>
      <x:c r="C93" s="398" t="n">
        <x:f>COUNTIF('04_원본응답'!$M$2:$M$101,"결제 문자·푸시 알림, 카드·은행 앱 확인")</x:f>
        <x:v>1</x:v>
      </x:c>
      <x:c r="D93" s="382" t="str">
        <x:v>원본 조합과 정확히 일치하는 응답 수</x:v>
      </x:c>
    </x:row>
    <x:row r="94" ht="38" customHeight="1">
      <x:c r="A94" s="397" t="str">
        <x:v>M</x:v>
      </x:c>
      <x:c r="B94" s="382" t="str">
        <x:v>캘린더, </x:v>
      </x:c>
      <x:c r="C94" s="398" t="n">
        <x:f>COUNTIF('04_원본응답'!$M$2:$M$101,"캘린더, ")</x:f>
        <x:v>1</x:v>
      </x:c>
      <x:c r="D94" s="382" t="str">
        <x:v>원본 조합과 정확히 일치하는 응답 수</x:v>
      </x:c>
    </x:row>
    <x:row r="95" ht="38" customHeight="1">
      <x:c r="A95" s="397" t="str">
        <x:v>M</x:v>
      </x:c>
      <x:c r="B95" s="382" t="str">
        <x:v>기억에 의존, 결제 문자·푸시 알림, 캘린더</x:v>
      </x:c>
      <x:c r="C95" s="398" t="n">
        <x:f>COUNTIF('04_원본응답'!$M$2:$M$101,"기억에 의존, 결제 문자·푸시 알림, 캘린더")</x:f>
        <x:v>1</x:v>
      </x:c>
      <x:c r="D95" s="382" t="str">
        <x:v>원본 조합과 정확히 일치하는 응답 수</x:v>
      </x:c>
    </x:row>
    <x:row r="96" ht="38" customHeight="1">
      <x:c r="A96" s="397" t="str">
        <x:v>M</x:v>
      </x:c>
      <x:c r="B96" s="382" t="str">
        <x:v>따로 관리하지 않음, 기억에 의존, 결제 문자·푸시 알림, 각 서비스 앱 확인</x:v>
      </x:c>
      <x:c r="C96" s="398" t="n">
        <x:f>COUNTIF('04_원본응답'!$M$2:$M$101,"따로 관리하지 않음, 기억에 의존, 결제 문자·푸시 알림, 각 서비스 앱 확인")</x:f>
        <x:v>1</x:v>
      </x:c>
      <x:c r="D96" s="382" t="str">
        <x:v>원본 조합과 정확히 일치하는 응답 수</x:v>
      </x:c>
    </x:row>
    <x:row r="97" ht="38" customHeight="1">
      <x:c r="A97" s="397" t="str">
        <x:v>M</x:v>
      </x:c>
      <x:c r="B97" s="382" t="str">
        <x:v>기억에 의존, 카드·은행 앱 확인</x:v>
      </x:c>
      <x:c r="C97" s="398" t="n">
        <x:f>COUNTIF('04_원본응답'!$M$2:$M$101,"기억에 의존, 카드·은행 앱 확인")</x:f>
        <x:v>1</x:v>
      </x:c>
      <x:c r="D97" s="382" t="str">
        <x:v>원본 조합과 정확히 일치하는 응답 수</x:v>
      </x:c>
    </x:row>
    <x:row r="98" ht="38" customHeight="1">
      <x:c r="A98" s="397" t="str">
        <x:v>M</x:v>
      </x:c>
      <x:c r="B98" s="382" t="str">
        <x:v>따로 관리하지 않음, 기억에 의존</x:v>
      </x:c>
      <x:c r="C98" s="398" t="n">
        <x:f>COUNTIF('04_원본응답'!$M$2:$M$101,"따로 관리하지 않음, 기억에 의존")</x:f>
        <x:v>1</x:v>
      </x:c>
      <x:c r="D98" s="382" t="str">
        <x:v>원본 조합과 정확히 일치하는 응답 수</x:v>
      </x:c>
    </x:row>
    <x:row r="99" ht="38" customHeight="1">
      <x:c r="A99" s="397" t="str">
        <x:v>M</x:v>
      </x:c>
      <x:c r="B99" s="382" t="str">
        <x:v>결제 문자·푸시 알림, 카드·은행 앱 확인, 메모·노션·엑셀</x:v>
      </x:c>
      <x:c r="C99" s="398" t="n">
        <x:f>COUNTIF('04_원본응답'!$M$2:$M$101,"결제 문자·푸시 알림, 카드·은행 앱 확인, 메모·노션·엑셀")</x:f>
        <x:v>1</x:v>
      </x:c>
      <x:c r="D99" s="382" t="str">
        <x:v>원본 조합과 정확히 일치하는 응답 수</x:v>
      </x:c>
    </x:row>
    <x:row r="100" ht="38" customHeight="1">
      <x:c r="A100" s="397" t="str">
        <x:v>N</x:v>
      </x:c>
      <x:c r="B100" s="382" t="str">
        <x:v>무료체험 종료일, 자동 갱신일, 가격 인상 적용일, 할인 종료일, 통신·인터넷 약정 종료일</x:v>
      </x:c>
      <x:c r="C100" s="398" t="n">
        <x:f>COUNTIF('04_원본응답'!$N$2:$N$101,"무료체험 종료일, 자동 갱신일, 가격 인상 적용일, 할인 종료일, 통신·인터넷 약정 종료일")</x:f>
        <x:v>2</x:v>
      </x:c>
      <x:c r="D100" s="382" t="str">
        <x:v>원본 조합과 정확히 일치하는 응답 수</x:v>
      </x:c>
    </x:row>
    <x:row r="101" ht="38" customHeight="1">
      <x:c r="A101" s="397" t="str">
        <x:v>N</x:v>
      </x:c>
      <x:c r="B101" s="382" t="str">
        <x:v>무료체험 종료일</x:v>
      </x:c>
      <x:c r="C101" s="398" t="n">
        <x:f>COUNTIF('04_원본응답'!$N$2:$N$101,"무료체험 종료일")</x:f>
        <x:v>13</x:v>
      </x:c>
      <x:c r="D101" s="382" t="str">
        <x:v>원본 조합과 정확히 일치하는 응답 수</x:v>
      </x:c>
    </x:row>
    <x:row r="102" ht="38" customHeight="1">
      <x:c r="A102" s="397" t="str">
        <x:v>N</x:v>
      </x:c>
      <x:c r="B102" s="382" t="str">
        <x:v>자동 갱신일</x:v>
      </x:c>
      <x:c r="C102" s="398" t="n">
        <x:f>COUNTIF('04_원본응답'!$N$2:$N$101,"자동 갱신일")</x:f>
        <x:v>10</x:v>
      </x:c>
      <x:c r="D102" s="382" t="str">
        <x:v>원본 조합과 정확히 일치하는 응답 수</x:v>
      </x:c>
    </x:row>
    <x:row r="103" ht="38" customHeight="1">
      <x:c r="A103" s="397" t="str">
        <x:v>N</x:v>
      </x:c>
      <x:c r="B103" s="382" t="str">
        <x:v>무료체험 종료일, 자동 갱신일, 일시정지한 구독의 재개 시점</x:v>
      </x:c>
      <x:c r="C103" s="398" t="n">
        <x:f>COUNTIF('04_원본응답'!$N$2:$N$101,"무료체험 종료일, 자동 갱신일, 일시정지한 구독의 재개 시점")</x:f>
        <x:v>1</x:v>
      </x:c>
      <x:c r="D103" s="382" t="str">
        <x:v>원본 조합과 정확히 일치하는 응답 수</x:v>
      </x:c>
    </x:row>
    <x:row r="104" ht="38" customHeight="1">
      <x:c r="A104" s="397" t="str">
        <x:v>N</x:v>
      </x:c>
      <x:c r="B104" s="382" t="str">
        <x:v>무료체험 종료일, 자동 갱신일</x:v>
      </x:c>
      <x:c r="C104" s="398" t="n">
        <x:f>COUNTIF('04_원본응답'!$N$2:$N$101,"무료체험 종료일, 자동 갱신일")</x:f>
        <x:v>8</x:v>
      </x:c>
      <x:c r="D104" s="382" t="str">
        <x:v>원본 조합과 정확히 일치하는 응답 수</x:v>
      </x:c>
    </x:row>
    <x:row r="105" ht="38" customHeight="1">
      <x:c r="A105" s="397" t="str">
        <x:v>N</x:v>
      </x:c>
      <x:c r="B105" s="382" t="str">
        <x:v>가격 인상 적용일</x:v>
      </x:c>
      <x:c r="C105" s="398" t="n">
        <x:f>COUNTIF('04_원본응답'!$N$2:$N$101,"가격 인상 적용일")</x:f>
        <x:v>6</x:v>
      </x:c>
      <x:c r="D105" s="382" t="str">
        <x:v>원본 조합과 정확히 일치하는 응답 수</x:v>
      </x:c>
    </x:row>
    <x:row r="106" ht="38" customHeight="1">
      <x:c r="A106" s="397" t="str">
        <x:v>N</x:v>
      </x:c>
      <x:c r="B106" s="382" t="str">
        <x:v>무료체험 종료일, 자동 갱신일, 통신·인터넷 약정 종료일</x:v>
      </x:c>
      <x:c r="C106" s="398" t="n">
        <x:f>COUNTIF('04_원본응답'!$N$2:$N$101,"무료체험 종료일, 자동 갱신일, 통신·인터넷 약정 종료일")</x:f>
        <x:v>4</x:v>
      </x:c>
      <x:c r="D106" s="382" t="str">
        <x:v>원본 조합과 정확히 일치하는 응답 수</x:v>
      </x:c>
    </x:row>
    <x:row r="107" ht="38" customHeight="1">
      <x:c r="A107" s="397" t="str">
        <x:v>N</x:v>
      </x:c>
      <x:c r="B107" s="382" t="str">
        <x:v>할인 종료일</x:v>
      </x:c>
      <x:c r="C107" s="398" t="n">
        <x:f>COUNTIF('04_원본응답'!$N$2:$N$101,"할인 종료일")</x:f>
        <x:v>6</x:v>
      </x:c>
      <x:c r="D107" s="382" t="str">
        <x:v>원본 조합과 정확히 일치하는 응답 수</x:v>
      </x:c>
    </x:row>
    <x:row r="108" ht="38" customHeight="1">
      <x:c r="A108" s="397" t="str">
        <x:v>N</x:v>
      </x:c>
      <x:c r="B108" s="382" t="str">
        <x:v>일시정지한 구독의 재개 시점, 통신·인터넷 약정 종료일</x:v>
      </x:c>
      <x:c r="C108" s="398" t="n">
        <x:f>COUNTIF('04_원본응답'!$N$2:$N$101,"일시정지한 구독의 재개 시점, 통신·인터넷 약정 종료일")</x:f>
        <x:v>2</x:v>
      </x:c>
      <x:c r="D108" s="382" t="str">
        <x:v>원본 조합과 정확히 일치하는 응답 수</x:v>
      </x:c>
    </x:row>
    <x:row r="109" ht="38" customHeight="1">
      <x:c r="A109" s="397" t="str">
        <x:v>N</x:v>
      </x:c>
      <x:c r="B109" s="382" t="str">
        <x:v>경험 없음</x:v>
      </x:c>
      <x:c r="C109" s="398" t="n">
        <x:f>COUNTIF('04_원본응답'!$N$2:$N$101,"경험 없음")</x:f>
        <x:v>20</x:v>
      </x:c>
      <x:c r="D109" s="382" t="str">
        <x:v>원본 조합과 정확히 일치하는 응답 수</x:v>
      </x:c>
    </x:row>
    <x:row r="110" ht="38" customHeight="1">
      <x:c r="A110" s="397" t="str">
        <x:v>N</x:v>
      </x:c>
      <x:c r="B110" s="382" t="str">
        <x:v>무료체험 종료일, 통신·인터넷 약정 종료일</x:v>
      </x:c>
      <x:c r="C110" s="398" t="n">
        <x:f>COUNTIF('04_원본응답'!$N$2:$N$101,"무료체험 종료일, 통신·인터넷 약정 종료일")</x:f>
        <x:v>4</x:v>
      </x:c>
      <x:c r="D110" s="382" t="str">
        <x:v>원본 조합과 정확히 일치하는 응답 수</x:v>
      </x:c>
    </x:row>
    <x:row r="111" ht="38" customHeight="1">
      <x:c r="A111" s="397" t="str">
        <x:v>N</x:v>
      </x:c>
      <x:c r="B111" s="382" t="str">
        <x:v>자동 갱신일, 일시정지한 구독의 재개 시점</x:v>
      </x:c>
      <x:c r="C111" s="398" t="n">
        <x:f>COUNTIF('04_원본응답'!$N$2:$N$101,"자동 갱신일, 일시정지한 구독의 재개 시점")</x:f>
        <x:v>2</x:v>
      </x:c>
      <x:c r="D111" s="382" t="str">
        <x:v>원본 조합과 정확히 일치하는 응답 수</x:v>
      </x:c>
    </x:row>
    <x:row r="112" ht="38" customHeight="1">
      <x:c r="A112" s="397" t="str">
        <x:v>N</x:v>
      </x:c>
      <x:c r="B112" s="382" t="str">
        <x:v>무료체험 종료일, 일시정지한 구독의 재개 시점, 통신·인터넷 약정 종료일</x:v>
      </x:c>
      <x:c r="C112" s="398" t="n">
        <x:f>COUNTIF('04_원본응답'!$N$2:$N$101,"무료체험 종료일, 일시정지한 구독의 재개 시점, 통신·인터넷 약정 종료일")</x:f>
        <x:v>1</x:v>
      </x:c>
      <x:c r="D112" s="382" t="str">
        <x:v>원본 조합과 정확히 일치하는 응답 수</x:v>
      </x:c>
    </x:row>
    <x:row r="113" ht="38" customHeight="1">
      <x:c r="A113" s="397" t="str">
        <x:v>N</x:v>
      </x:c>
      <x:c r="B113" s="382" t="str">
        <x:v>자동 갱신일, 할인 종료일</x:v>
      </x:c>
      <x:c r="C113" s="398" t="n">
        <x:f>COUNTIF('04_원본응답'!$N$2:$N$101,"자동 갱신일, 할인 종료일")</x:f>
        <x:v>2</x:v>
      </x:c>
      <x:c r="D113" s="382" t="str">
        <x:v>원본 조합과 정확히 일치하는 응답 수</x:v>
      </x:c>
    </x:row>
    <x:row r="114" ht="38" customHeight="1">
      <x:c r="A114" s="397" t="str">
        <x:v>N</x:v>
      </x:c>
      <x:c r="B114" s="382" t="str">
        <x:v>무료체험 종료일, 할인 종료일</x:v>
      </x:c>
      <x:c r="C114" s="398" t="n">
        <x:f>COUNTIF('04_원본응답'!$N$2:$N$101,"무료체험 종료일, 할인 종료일")</x:f>
        <x:v>3</x:v>
      </x:c>
      <x:c r="D114" s="382" t="str">
        <x:v>원본 조합과 정확히 일치하는 응답 수</x:v>
      </x:c>
    </x:row>
    <x:row r="115" ht="38" customHeight="1">
      <x:c r="A115" s="397" t="str">
        <x:v>N</x:v>
      </x:c>
      <x:c r="B115" s="382" t="str">
        <x:v>가격 인상 적용일, 할인 종료일</x:v>
      </x:c>
      <x:c r="C115" s="398" t="n">
        <x:f>COUNTIF('04_원본응답'!$N$2:$N$101,"가격 인상 적용일, 할인 종료일")</x:f>
        <x:v>1</x:v>
      </x:c>
      <x:c r="D115" s="382" t="str">
        <x:v>원본 조합과 정확히 일치하는 응답 수</x:v>
      </x:c>
    </x:row>
    <x:row r="116" ht="38" customHeight="1">
      <x:c r="A116" s="397" t="str">
        <x:v>N</x:v>
      </x:c>
      <x:c r="B116" s="382" t="str">
        <x:v>무료체험 종료일, 자동 갱신일, 가격 인상 적용일, 할인 종료일, 일시정지한 구독의 재개 시점</x:v>
      </x:c>
      <x:c r="C116" s="398" t="n">
        <x:f>COUNTIF('04_원본응답'!$N$2:$N$101,"무료체험 종료일, 자동 갱신일, 가격 인상 적용일, 할인 종료일, 일시정지한 구독의 재개 시점")</x:f>
        <x:v>1</x:v>
      </x:c>
      <x:c r="D116" s="382" t="str">
        <x:v>원본 조합과 정확히 일치하는 응답 수</x:v>
      </x:c>
    </x:row>
    <x:row r="117" ht="38" customHeight="1">
      <x:c r="A117" s="397" t="str">
        <x:v>N</x:v>
      </x:c>
      <x:c r="B117" s="382" t="str">
        <x:v>자동 갱신일, 할인 종료일, 통신·인터넷 약정 종료일</x:v>
      </x:c>
      <x:c r="C117" s="398" t="n">
        <x:f>COUNTIF('04_원본응답'!$N$2:$N$101,"자동 갱신일, 할인 종료일, 통신·인터넷 약정 종료일")</x:f>
        <x:v>1</x:v>
      </x:c>
      <x:c r="D117" s="382" t="str">
        <x:v>원본 조합과 정확히 일치하는 응답 수</x:v>
      </x:c>
    </x:row>
    <x:row r="118" ht="38" customHeight="1">
      <x:c r="A118" s="397" t="str">
        <x:v>N</x:v>
      </x:c>
      <x:c r="B118" s="382" t="str">
        <x:v>무료체험 종료일, 자동 갱신일, 가격 인상 적용일, 할인 종료일</x:v>
      </x:c>
      <x:c r="C118" s="398" t="n">
        <x:f>COUNTIF('04_원본응답'!$N$2:$N$101,"무료체험 종료일, 자동 갱신일, 가격 인상 적용일, 할인 종료일")</x:f>
        <x:v>2</x:v>
      </x:c>
      <x:c r="D118" s="382" t="str">
        <x:v>원본 조합과 정확히 일치하는 응답 수</x:v>
      </x:c>
    </x:row>
    <x:row r="119" ht="38" customHeight="1">
      <x:c r="A119" s="397" t="str">
        <x:v>N</x:v>
      </x:c>
      <x:c r="B119" s="382" t="str">
        <x:v>무료체험 종료일, 자동 갱신일, 할인 종료일, 통신·인터넷 약정 종료일</x:v>
      </x:c>
      <x:c r="C119" s="398" t="n">
        <x:f>COUNTIF('04_원본응답'!$N$2:$N$101,"무료체험 종료일, 자동 갱신일, 할인 종료일, 통신·인터넷 약정 종료일")</x:f>
        <x:v>1</x:v>
      </x:c>
      <x:c r="D119" s="382" t="str">
        <x:v>원본 조합과 정확히 일치하는 응답 수</x:v>
      </x:c>
    </x:row>
    <x:row r="120" ht="38" customHeight="1">
      <x:c r="A120" s="397" t="str">
        <x:v>N</x:v>
      </x:c>
      <x:c r="B120" s="382" t="str">
        <x:v>통신·인터넷 약정 종료일</x:v>
      </x:c>
      <x:c r="C120" s="398" t="n">
        <x:f>COUNTIF('04_원본응답'!$N$2:$N$101,"통신·인터넷 약정 종료일")</x:f>
        <x:v>2</x:v>
      </x:c>
      <x:c r="D120" s="382" t="str">
        <x:v>원본 조합과 정확히 일치하는 응답 수</x:v>
      </x:c>
    </x:row>
    <x:row r="121" ht="38" customHeight="1">
      <x:c r="A121" s="397" t="str">
        <x:v>N</x:v>
      </x:c>
      <x:c r="B121" s="382" t="str">
        <x:v>무료체험 종료일, 자동 갱신일, 할인 종료일</x:v>
      </x:c>
      <x:c r="C121" s="398" t="n">
        <x:f>COUNTIF('04_원본응답'!$N$2:$N$101,"무료체험 종료일, 자동 갱신일, 할인 종료일")</x:f>
        <x:v>1</x:v>
      </x:c>
      <x:c r="D121" s="382" t="str">
        <x:v>원본 조합과 정확히 일치하는 응답 수</x:v>
      </x:c>
    </x:row>
    <x:row r="122" ht="38" customHeight="1">
      <x:c r="A122" s="397" t="str">
        <x:v>N</x:v>
      </x:c>
      <x:c r="B122" s="382" t="str">
        <x:v>자동 갱신일, 가격 인상 적용일</x:v>
      </x:c>
      <x:c r="C122" s="398" t="n">
        <x:f>COUNTIF('04_원본응답'!$N$2:$N$101,"자동 갱신일, 가격 인상 적용일")</x:f>
        <x:v>1</x:v>
      </x:c>
      <x:c r="D122" s="382" t="str">
        <x:v>원본 조합과 정확히 일치하는 응답 수</x:v>
      </x:c>
    </x:row>
    <x:row r="123" ht="38" customHeight="1">
      <x:c r="A123" s="397" t="str">
        <x:v>N</x:v>
      </x:c>
      <x:c r="B123" s="382" t="str">
        <x:v>가격 인상 적용일, 일시정지한 구독의 재개 시점</x:v>
      </x:c>
      <x:c r="C123" s="398" t="n">
        <x:f>COUNTIF('04_원본응답'!$N$2:$N$101,"가격 인상 적용일, 일시정지한 구독의 재개 시점")</x:f>
        <x:v>1</x:v>
      </x:c>
      <x:c r="D123" s="382" t="str">
        <x:v>원본 조합과 정확히 일치하는 응답 수</x:v>
      </x:c>
    </x:row>
    <x:row r="124" ht="38" customHeight="1">
      <x:c r="A124" s="397" t="str">
        <x:v>N</x:v>
      </x:c>
      <x:c r="B124" s="382" t="str">
        <x:v>무료체험 종료일, 할인 종료일, 통신·인터넷 약정 종료일</x:v>
      </x:c>
      <x:c r="C124" s="398" t="n">
        <x:f>COUNTIF('04_원본응답'!$N$2:$N$101,"무료체험 종료일, 할인 종료일, 통신·인터넷 약정 종료일")</x:f>
        <x:v>1</x:v>
      </x:c>
      <x:c r="D124" s="382" t="str">
        <x:v>원본 조합과 정확히 일치하는 응답 수</x:v>
      </x:c>
    </x:row>
    <x:row r="125" ht="38" customHeight="1">
      <x:c r="A125" s="397" t="str">
        <x:v>N</x:v>
      </x:c>
      <x:c r="B125" s="382" t="str">
        <x:v>통신·인터넷 약정 종료일, 특히 인터넷 계약 이후에 이전꺼 철회요청안하면 돈 계속나감 ㅡㅡ 거진 몇년냈음</x:v>
      </x:c>
      <x:c r="C125" s="398" t="n">
        <x:f>COUNTIF('04_원본응답'!$N$2:$N$101,"통신·인터넷 약정 종료일, 특히 인터넷 계약 이후에 이전꺼 철회요청안하면 돈 계속나감 ㅡㅡ 거진 몇년냈음")</x:f>
        <x:v>1</x:v>
      </x:c>
      <x:c r="D125" s="382" t="str">
        <x:v>원본 조합과 정확히 일치하는 응답 수</x:v>
      </x:c>
    </x:row>
    <x:row r="126" ht="38" customHeight="1">
      <x:c r="A126" s="397" t="str">
        <x:v>N</x:v>
      </x:c>
      <x:c r="B126" s="382" t="str">
        <x:v>자동 갱신일, 할인 종료일, 일시정지한 구독의 재개 시점</x:v>
      </x:c>
      <x:c r="C126" s="398" t="n">
        <x:f>COUNTIF('04_원본응답'!$N$2:$N$101,"자동 갱신일, 할인 종료일, 일시정지한 구독의 재개 시점")</x:f>
        <x:v>1</x:v>
      </x:c>
      <x:c r="D126" s="382" t="str">
        <x:v>원본 조합과 정확히 일치하는 응답 수</x:v>
      </x:c>
    </x:row>
    <x:row r="127" ht="38" customHeight="1">
      <x:c r="A127" s="397" t="str">
        <x:v>N</x:v>
      </x:c>
      <x:c r="B127" s="382" t="str">
        <x:v>무료체험 종료일, 자동 갱신일, 가격 인상 적용일</x:v>
      </x:c>
      <x:c r="C127" s="398" t="n">
        <x:f>COUNTIF('04_원본응답'!$N$2:$N$101,"무료체험 종료일, 자동 갱신일, 가격 인상 적용일")</x:f>
        <x:v>2</x:v>
      </x:c>
      <x:c r="D127" s="382" t="str">
        <x:v>원본 조합과 정확히 일치하는 응답 수</x:v>
      </x:c>
    </x:row>
    <x:row r="128" ht="38" customHeight="1">
      <x:c r="A128" s="397" t="str">
        <x:v>V</x:v>
      </x:c>
      <x:c r="B128" s="382" t="str">
        <x:v>현재 어떤 상품을 이용 중인지 한눈에 보기 어려움, 매월 총 얼마를 지출하는지 파악하기 어려움, 혜택 적용 조건이 복잡함, 결제일·갱신일을 관리하기 어려움, 기존 상품과 중복되는 구독·혜택을 확인하기 어려움, 여러 앱·사이트를 확인해야 해서 번거로움</x:v>
      </x:c>
      <x:c r="C128" s="398" t="n">
        <x:f>COUNTIF('04_원본응답'!$V$2:$V$101,"현재 어떤 상품을 이용 중인지 한눈에 보기 어려움, 매월 총 얼마를 지출하는지 파악하기 어려움, 혜택 적용 조건이 복잡함, 결제일·갱신일을 관리하기 어려움, 기존 상품과 중복되는 구독·혜택을 확인하기 어려움, 여러 앱·사이트를 확인해야 해서 번거로움")</x:f>
        <x:v>4</x:v>
      </x:c>
      <x:c r="D128" s="382" t="str">
        <x:v>원본 조합과 정확히 일치하는 응답 수</x:v>
      </x:c>
    </x:row>
    <x:row r="129" ht="38" customHeight="1">
      <x:c r="A129" s="397" t="str">
        <x:v>V</x:v>
      </x:c>
      <x:c r="B129" s="382" t="str">
        <x:v>혜택 적용 조건이 복잡함</x:v>
      </x:c>
      <x:c r="C129" s="398" t="n">
        <x:f>COUNTIF('04_원본응답'!$V$2:$V$101,"혜택 적용 조건이 복잡함")</x:f>
        <x:v>5</x:v>
      </x:c>
      <x:c r="D129" s="382" t="str">
        <x:v>원본 조합과 정확히 일치하는 응답 수</x:v>
      </x:c>
    </x:row>
    <x:row r="130" ht="38" customHeight="1">
      <x:c r="A130" s="397" t="str">
        <x:v>V</x:v>
      </x:c>
      <x:c r="B130" s="382" t="str">
        <x:v>매월 총 얼마를 지출하는지 파악하기 어려움, 결제일·갱신일을 관리하기 어려움</x:v>
      </x:c>
      <x:c r="C130" s="398" t="n">
        <x:f>COUNTIF('04_원본응답'!$V$2:$V$101,"매월 총 얼마를 지출하는지 파악하기 어려움, 결제일·갱신일을 관리하기 어려움")</x:f>
        <x:v>1</x:v>
      </x:c>
      <x:c r="D130" s="382" t="str">
        <x:v>원본 조합과 정확히 일치하는 응답 수</x:v>
      </x:c>
    </x:row>
    <x:row r="131" ht="38" customHeight="1">
      <x:c r="A131" s="397" t="str">
        <x:v>V</x:v>
      </x:c>
      <x:c r="B131" s="382" t="str">
        <x:v>현재 어떤 상품을 이용 중인지 한눈에 보기 어려움, 매월 총 얼마를 지출하는지 파악하기 어려움, 결제일·갱신일을 관리하기 어려움, 기존 상품과 중복되는 구독·혜택을 확인하기 어려움, 여러 앱·사이트를 확인해야 해서 번거로움</x:v>
      </x:c>
      <x:c r="C131" s="398" t="n">
        <x:f>COUNTIF('04_원본응답'!$V$2:$V$101,"현재 어떤 상품을 이용 중인지 한눈에 보기 어려움, 매월 총 얼마를 지출하는지 파악하기 어려움, 결제일·갱신일을 관리하기 어려움, 기존 상품과 중복되는 구독·혜택을 확인하기 어려움, 여러 앱·사이트를 확인해야 해서 번거로움")</x:f>
        <x:v>2</x:v>
      </x:c>
      <x:c r="D131" s="382" t="str">
        <x:v>원본 조합과 정확히 일치하는 응답 수</x:v>
      </x:c>
    </x:row>
    <x:row r="132" ht="38" customHeight="1">
      <x:c r="A132" s="397" t="str">
        <x:v>V</x:v>
      </x:c>
      <x:c r="B132" s="382" t="str">
        <x:v>현재 어떤 상품을 이용 중인지 한눈에 보기 어려움, 매월 총 얼마를 지출하는지 파악하기 어려움, 결제일·갱신일을 관리하기 어려움</x:v>
      </x:c>
      <x:c r="C132" s="398" t="n">
        <x:f>COUNTIF('04_원본응답'!$V$2:$V$101,"현재 어떤 상품을 이용 중인지 한눈에 보기 어려움, 매월 총 얼마를 지출하는지 파악하기 어려움, 결제일·갱신일을 관리하기 어려움")</x:f>
        <x:v>3</x:v>
      </x:c>
      <x:c r="D132" s="382" t="str">
        <x:v>원본 조합과 정확히 일치하는 응답 수</x:v>
      </x:c>
    </x:row>
    <x:row r="133" ht="38" customHeight="1">
      <x:c r="A133" s="397" t="str">
        <x:v>V</x:v>
      </x:c>
      <x:c r="B133" s="382" t="str">
        <x:v>현재 어떤 상품을 이용 중인지 한눈에 보기 어려움</x:v>
      </x:c>
      <x:c r="C133" s="398" t="n">
        <x:f>COUNTIF('04_원본응답'!$V$2:$V$101,"현재 어떤 상품을 이용 중인지 한눈에 보기 어려움")</x:f>
        <x:v>11</x:v>
      </x:c>
      <x:c r="D133" s="382" t="str">
        <x:v>원본 조합과 정확히 일치하는 응답 수</x:v>
      </x:c>
    </x:row>
    <x:row r="134" ht="38" customHeight="1">
      <x:c r="A134" s="397" t="str">
        <x:v>V</x:v>
      </x:c>
      <x:c r="B134" s="382" t="str">
        <x:v>현재 어떤 상품을 이용 중인지 한눈에 보기 어려움, 매월 총 얼마를 지출하는지 파악하기 어려움, 결제일·갱신일을 관리하기 어려움, 기존 상품과 중복되는 구독·혜택을 확인하기 어려움</x:v>
      </x:c>
      <x:c r="C134" s="398" t="n">
        <x:f>COUNTIF('04_원본응답'!$V$2:$V$101,"현재 어떤 상품을 이용 중인지 한눈에 보기 어려움, 매월 총 얼마를 지출하는지 파악하기 어려움, 결제일·갱신일을 관리하기 어려움, 기존 상품과 중복되는 구독·혜택을 확인하기 어려움")</x:f>
        <x:v>3</x:v>
      </x:c>
      <x:c r="D134" s="382" t="str">
        <x:v>원본 조합과 정확히 일치하는 응답 수</x:v>
      </x:c>
    </x:row>
    <x:row r="135" ht="38" customHeight="1">
      <x:c r="A135" s="397" t="str">
        <x:v>V</x:v>
      </x:c>
      <x:c r="B135" s="382" t="str">
        <x:v>현재 어떤 상품을 이용 중인지 한눈에 보기 어려움, 매월 총 얼마를 지출하는지 파악하기 어려움, 여러 앱·사이트를 확인해야 해서 번거로움</x:v>
      </x:c>
      <x:c r="C135" s="398" t="n">
        <x:f>COUNTIF('04_원본응답'!$V$2:$V$101,"현재 어떤 상품을 이용 중인지 한눈에 보기 어려움, 매월 총 얼마를 지출하는지 파악하기 어려움, 여러 앱·사이트를 확인해야 해서 번거로움")</x:f>
        <x:v>2</x:v>
      </x:c>
      <x:c r="D135" s="382" t="str">
        <x:v>원본 조합과 정확히 일치하는 응답 수</x:v>
      </x:c>
    </x:row>
    <x:row r="136" ht="38" customHeight="1">
      <x:c r="A136" s="397" t="str">
        <x:v>V</x:v>
      </x:c>
      <x:c r="B136" s="382" t="str">
        <x:v>결제일·갱신일을 관리하기 어려움, 특별히 불편하지 않음</x:v>
      </x:c>
      <x:c r="C136" s="398" t="n">
        <x:f>COUNTIF('04_원본응답'!$V$2:$V$101,"결제일·갱신일을 관리하기 어려움, 특별히 불편하지 않음")</x:f>
        <x:v>1</x:v>
      </x:c>
      <x:c r="D136" s="382" t="str">
        <x:v>원본 조합과 정확히 일치하는 응답 수</x:v>
      </x:c>
    </x:row>
    <x:row r="137" ht="38" customHeight="1">
      <x:c r="A137" s="397" t="str">
        <x:v>V</x:v>
      </x:c>
      <x:c r="B137" s="382" t="str">
        <x:v>특별히 불편하지 않음</x:v>
      </x:c>
      <x:c r="C137" s="398" t="n">
        <x:f>COUNTIF('04_원본응답'!$V$2:$V$101,"특별히 불편하지 않음")</x:f>
        <x:v>15</x:v>
      </x:c>
      <x:c r="D137" s="382" t="str">
        <x:v>원본 조합과 정확히 일치하는 응답 수</x:v>
      </x:c>
    </x:row>
    <x:row r="138" ht="38" customHeight="1">
      <x:c r="A138" s="397" t="str">
        <x:v>V</x:v>
      </x:c>
      <x:c r="B138" s="382" t="str">
        <x:v>매월 총 얼마를 지출하는지 파악하기 어려움, 혜택 적용 조건이 복잡함, 결제일·갱신일을 관리하기 어려움, 기존 상품과 중복되는 구독·혜택을 확인하기 어려움, 여러 앱·사이트를 확인해야 해서 번거로움</x:v>
      </x:c>
      <x:c r="C138" s="398" t="n">
        <x:f>COUNTIF('04_원본응답'!$V$2:$V$101,"매월 총 얼마를 지출하는지 파악하기 어려움, 혜택 적용 조건이 복잡함, 결제일·갱신일을 관리하기 어려움, 기존 상품과 중복되는 구독·혜택을 확인하기 어려움, 여러 앱·사이트를 확인해야 해서 번거로움")</x:f>
        <x:v>1</x:v>
      </x:c>
      <x:c r="D138" s="382" t="str">
        <x:v>원본 조합과 정확히 일치하는 응답 수</x:v>
      </x:c>
    </x:row>
    <x:row r="139" ht="38" customHeight="1">
      <x:c r="A139" s="397" t="str">
        <x:v>V</x:v>
      </x:c>
      <x:c r="B139" s="382" t="str">
        <x:v>현재 어떤 상품을 이용 중인지 한눈에 보기 어려움, 특별히 불편하지 않음</x:v>
      </x:c>
      <x:c r="C139" s="398" t="n">
        <x:f>COUNTIF('04_원본응답'!$V$2:$V$101,"현재 어떤 상품을 이용 중인지 한눈에 보기 어려움, 특별히 불편하지 않음")</x:f>
        <x:v>2</x:v>
      </x:c>
      <x:c r="D139" s="382" t="str">
        <x:v>원본 조합과 정확히 일치하는 응답 수</x:v>
      </x:c>
    </x:row>
    <x:row r="140" ht="38" customHeight="1">
      <x:c r="A140" s="397" t="str">
        <x:v>V</x:v>
      </x:c>
      <x:c r="B140" s="382" t="str">
        <x:v>매월 총 얼마를 지출하는지 파악하기 어려움, 혜택 적용 조건이 복잡함, 결제일·갱신일을 관리하기 어려움, 기존 상품과 중복되는 구독·혜택을 확인하기 어려움</x:v>
      </x:c>
      <x:c r="C140" s="398" t="n">
        <x:f>COUNTIF('04_원본응답'!$V$2:$V$101,"매월 총 얼마를 지출하는지 파악하기 어려움, 혜택 적용 조건이 복잡함, 결제일·갱신일을 관리하기 어려움, 기존 상품과 중복되는 구독·혜택을 확인하기 어려움")</x:f>
        <x:v>1</x:v>
      </x:c>
      <x:c r="D140" s="382" t="str">
        <x:v>원본 조합과 정확히 일치하는 응답 수</x:v>
      </x:c>
    </x:row>
    <x:row r="141" ht="38" customHeight="1">
      <x:c r="A141" s="397" t="str">
        <x:v>V</x:v>
      </x:c>
      <x:c r="B141" s="382" t="str">
        <x:v>결제일·갱신일을 관리하기 어려움, 공동 구독 정산이 번거로움</x:v>
      </x:c>
      <x:c r="C141" s="398" t="n">
        <x:f>COUNTIF('04_원본응답'!$V$2:$V$101,"결제일·갱신일을 관리하기 어려움, 공동 구독 정산이 번거로움")</x:f>
        <x:v>2</x:v>
      </x:c>
      <x:c r="D141" s="382" t="str">
        <x:v>원본 조합과 정확히 일치하는 응답 수</x:v>
      </x:c>
    </x:row>
    <x:row r="142" ht="38" customHeight="1">
      <x:c r="A142" s="397" t="str">
        <x:v>V</x:v>
      </x:c>
      <x:c r="B142" s="382" t="str">
        <x:v>현재 어떤 상품을 이용 중인지 한눈에 보기 어려움, 여러 앱·사이트를 확인해야 해서 번거로움</x:v>
      </x:c>
      <x:c r="C142" s="398" t="n">
        <x:f>COUNTIF('04_원본응답'!$V$2:$V$101,"현재 어떤 상품을 이용 중인지 한눈에 보기 어려움, 여러 앱·사이트를 확인해야 해서 번거로움")</x:f>
        <x:v>2</x:v>
      </x:c>
      <x:c r="D142" s="382" t="str">
        <x:v>원본 조합과 정확히 일치하는 응답 수</x:v>
      </x:c>
    </x:row>
    <x:row r="143" ht="38" customHeight="1">
      <x:c r="A143" s="397" t="str">
        <x:v>V</x:v>
      </x:c>
      <x:c r="B143" s="382" t="str">
        <x:v>현재 어떤 상품을 이용 중인지 한눈에 보기 어려움, 매월 총 얼마를 지출하는지 파악하기 어려움</x:v>
      </x:c>
      <x:c r="C143" s="398" t="n">
        <x:f>COUNTIF('04_원본응답'!$V$2:$V$101,"현재 어떤 상품을 이용 중인지 한눈에 보기 어려움, 매월 총 얼마를 지출하는지 파악하기 어려움")</x:f>
        <x:v>6</x:v>
      </x:c>
      <x:c r="D143" s="382" t="str">
        <x:v>원본 조합과 정확히 일치하는 응답 수</x:v>
      </x:c>
    </x:row>
    <x:row r="144" ht="38" customHeight="1">
      <x:c r="A144" s="397" t="str">
        <x:v>V</x:v>
      </x:c>
      <x:c r="B144" s="382" t="str">
        <x:v>혜택 적용 조건이 복잡함, 기존 상품과 중복되는 구독·혜택을 확인하기 어려움</x:v>
      </x:c>
      <x:c r="C144" s="398" t="n">
        <x:f>COUNTIF('04_원본응답'!$V$2:$V$101,"혜택 적용 조건이 복잡함, 기존 상품과 중복되는 구독·혜택을 확인하기 어려움")</x:f>
        <x:v>1</x:v>
      </x:c>
      <x:c r="D144" s="382" t="str">
        <x:v>원본 조합과 정확히 일치하는 응답 수</x:v>
      </x:c>
    </x:row>
    <x:row r="145" ht="38" customHeight="1">
      <x:c r="A145" s="397" t="str">
        <x:v>V</x:v>
      </x:c>
      <x:c r="B145" s="382" t="str">
        <x:v>매월 총 얼마를 지출하는지 파악하기 어려움, 여러 앱·사이트를 확인해야 해서 번거로움, 기타</x:v>
      </x:c>
      <x:c r="C145" s="398" t="n">
        <x:f>COUNTIF('04_원본응답'!$V$2:$V$101,"매월 총 얼마를 지출하는지 파악하기 어려움, 여러 앱·사이트를 확인해야 해서 번거로움, 기타")</x:f>
        <x:v>1</x:v>
      </x:c>
      <x:c r="D145" s="382" t="str">
        <x:v>원본 조합과 정확히 일치하는 응답 수</x:v>
      </x:c>
    </x:row>
    <x:row r="146" ht="38" customHeight="1">
      <x:c r="A146" s="397" t="str">
        <x:v>V</x:v>
      </x:c>
      <x:c r="B146" s="382" t="str">
        <x:v>매월 총 얼마를 지출하는지 파악하기 어려움</x:v>
      </x:c>
      <x:c r="C146" s="398" t="n">
        <x:f>COUNTIF('04_원본응답'!$V$2:$V$101,"매월 총 얼마를 지출하는지 파악하기 어려움")</x:f>
        <x:v>7</x:v>
      </x:c>
      <x:c r="D146" s="382" t="str">
        <x:v>원본 조합과 정확히 일치하는 응답 수</x:v>
      </x:c>
    </x:row>
    <x:row r="147" ht="38" customHeight="1">
      <x:c r="A147" s="397" t="str">
        <x:v>V</x:v>
      </x:c>
      <x:c r="B147" s="382" t="str">
        <x:v>매월 총 얼마를 지출하는지 파악하기 어려움, 여러 앱·사이트를 확인해야 해서 번거로움</x:v>
      </x:c>
      <x:c r="C147" s="398" t="n">
        <x:f>COUNTIF('04_원본응답'!$V$2:$V$101,"매월 총 얼마를 지출하는지 파악하기 어려움, 여러 앱·사이트를 확인해야 해서 번거로움")</x:f>
        <x:v>2</x:v>
      </x:c>
      <x:c r="D147" s="382" t="str">
        <x:v>원본 조합과 정확히 일치하는 응답 수</x:v>
      </x:c>
    </x:row>
    <x:row r="148" ht="38" customHeight="1">
      <x:c r="A148" s="397" t="str">
        <x:v>V</x:v>
      </x:c>
      <x:c r="B148" s="382" t="str">
        <x:v>매월 총 얼마를 지출하는지 파악하기 어려움, 결제일·갱신일을 관리하기 어려움, 기존 상품과 중복되는 구독·혜택을 확인하기 어려움</x:v>
      </x:c>
      <x:c r="C148" s="398" t="n">
        <x:f>COUNTIF('04_원본응답'!$V$2:$V$101,"매월 총 얼마를 지출하는지 파악하기 어려움, 결제일·갱신일을 관리하기 어려움, 기존 상품과 중복되는 구독·혜택을 확인하기 어려움")</x:f>
        <x:v>1</x:v>
      </x:c>
      <x:c r="D148" s="382" t="str">
        <x:v>원본 조합과 정확히 일치하는 응답 수</x:v>
      </x:c>
    </x:row>
    <x:row r="149" ht="38" customHeight="1">
      <x:c r="A149" s="397" t="str">
        <x:v>V</x:v>
      </x:c>
      <x:c r="B149" s="382" t="str">
        <x:v>현재 어떤 상품을 이용 중인지 한눈에 보기 어려움, 혜택 적용 조건이 복잡함, 결제일·갱신일을 관리하기 어려움</x:v>
      </x:c>
      <x:c r="C149" s="398" t="n">
        <x:f>COUNTIF('04_원본응답'!$V$2:$V$101,"현재 어떤 상품을 이용 중인지 한눈에 보기 어려움, 혜택 적용 조건이 복잡함, 결제일·갱신일을 관리하기 어려움")</x:f>
        <x:v>1</x:v>
      </x:c>
      <x:c r="D149" s="382" t="str">
        <x:v>원본 조합과 정확히 일치하는 응답 수</x:v>
      </x:c>
    </x:row>
    <x:row r="150" ht="38" customHeight="1">
      <x:c r="A150" s="397" t="str">
        <x:v>V</x:v>
      </x:c>
      <x:c r="B150" s="382" t="str">
        <x:v>매월 총 얼마를 지출하는지 파악하기 어려움, 결제일·갱신일을 관리하기 어려움, 기존 상품과 중복되는 구독·혜택을 확인하기 어려움, 여러 앱·사이트를 확인해야 해서 번거로움</x:v>
      </x:c>
      <x:c r="C150" s="398" t="n">
        <x:f>COUNTIF('04_원본응답'!$V$2:$V$101,"매월 총 얼마를 지출하는지 파악하기 어려움, 결제일·갱신일을 관리하기 어려움, 기존 상품과 중복되는 구독·혜택을 확인하기 어려움, 여러 앱·사이트를 확인해야 해서 번거로움")</x:f>
        <x:v>1</x:v>
      </x:c>
      <x:c r="D150" s="382" t="str">
        <x:v>원본 조합과 정확히 일치하는 응답 수</x:v>
      </x:c>
    </x:row>
    <x:row r="151" ht="38" customHeight="1">
      <x:c r="A151" s="397" t="str">
        <x:v>V</x:v>
      </x:c>
      <x:c r="B151" s="382" t="str">
        <x:v>여러 앱·사이트를 확인해야 해서 번거로움</x:v>
      </x:c>
      <x:c r="C151" s="398" t="n">
        <x:f>COUNTIF('04_원본응답'!$V$2:$V$101,"여러 앱·사이트를 확인해야 해서 번거로움")</x:f>
        <x:v>2</x:v>
      </x:c>
      <x:c r="D151" s="382" t="str">
        <x:v>원본 조합과 정확히 일치하는 응답 수</x:v>
      </x:c>
    </x:row>
    <x:row r="152" ht="38" customHeight="1">
      <x:c r="A152" s="397" t="str">
        <x:v>V</x:v>
      </x:c>
      <x:c r="B152" s="382" t="str">
        <x:v>혜택 적용 조건이 복잡함, 결제일·갱신일을 관리하기 어려움</x:v>
      </x:c>
      <x:c r="C152" s="398" t="n">
        <x:f>COUNTIF('04_원본응답'!$V$2:$V$101,"혜택 적용 조건이 복잡함, 결제일·갱신일을 관리하기 어려움")</x:f>
        <x:v>1</x:v>
      </x:c>
      <x:c r="D152" s="382" t="str">
        <x:v>원본 조합과 정확히 일치하는 응답 수</x:v>
      </x:c>
    </x:row>
    <x:row r="153" ht="38" customHeight="1">
      <x:c r="A153" s="397" t="str">
        <x:v>V</x:v>
      </x:c>
      <x:c r="B153" s="382" t="str">
        <x:v>현재 어떤 상품을 이용 중인지 한눈에 보기 어려움, 매월 총 얼마를 지출하는지 파악하기 어려움, 혜택 적용 조건이 복잡함, 공동 구독 정산이 번거로움</x:v>
      </x:c>
      <x:c r="C153" s="398" t="n">
        <x:f>COUNTIF('04_원본응답'!$V$2:$V$101,"현재 어떤 상품을 이용 중인지 한눈에 보기 어려움, 매월 총 얼마를 지출하는지 파악하기 어려움, 혜택 적용 조건이 복잡함, 공동 구독 정산이 번거로움")</x:f>
        <x:v>1</x:v>
      </x:c>
      <x:c r="D153" s="382" t="str">
        <x:v>원본 조합과 정확히 일치하는 응답 수</x:v>
      </x:c>
    </x:row>
    <x:row r="154" ht="38" customHeight="1">
      <x:c r="A154" s="397" t="str">
        <x:v>V</x:v>
      </x:c>
      <x:c r="B154" s="382" t="str">
        <x:v>현재 어떤 상품을 이용 중인지 한눈에 보기 어려움, 매월 총 얼마를 지출하는지 파악하기 어려움, 결제일·갱신일을 관리하기 어려움, 여러 앱·사이트를 확인해야 해서 번거로움</x:v>
      </x:c>
      <x:c r="C154" s="398" t="n">
        <x:f>COUNTIF('04_원본응답'!$V$2:$V$101,"현재 어떤 상품을 이용 중인지 한눈에 보기 어려움, 매월 총 얼마를 지출하는지 파악하기 어려움, 결제일·갱신일을 관리하기 어려움, 여러 앱·사이트를 확인해야 해서 번거로움")</x:f>
        <x:v>4</x:v>
      </x:c>
      <x:c r="D154" s="382" t="str">
        <x:v>원본 조합과 정확히 일치하는 응답 수</x:v>
      </x:c>
    </x:row>
    <x:row r="155" ht="38" customHeight="1">
      <x:c r="A155" s="397" t="str">
        <x:v>V</x:v>
      </x:c>
      <x:c r="B155" s="382" t="str">
        <x:v>기타</x:v>
      </x:c>
      <x:c r="C155" s="398" t="n">
        <x:f>COUNTIF('04_원본응답'!$V$2:$V$101,"기타")</x:f>
        <x:v>2</x:v>
      </x:c>
      <x:c r="D155" s="382" t="str">
        <x:v>원본 조합과 정확히 일치하는 응답 수</x:v>
      </x:c>
    </x:row>
    <x:row r="156" ht="38" customHeight="1">
      <x:c r="A156" s="397" t="str">
        <x:v>V</x:v>
      </x:c>
      <x:c r="B156" s="382" t="str">
        <x:v>기존 상품과 중복되는 구독·혜택을 확인하기 어려움</x:v>
      </x:c>
      <x:c r="C156" s="398" t="n">
        <x:f>COUNTIF('04_원본응답'!$V$2:$V$101,"기존 상품과 중복되는 구독·혜택을 확인하기 어려움")</x:f>
        <x:v>3</x:v>
      </x:c>
      <x:c r="D156" s="382" t="str">
        <x:v>원본 조합과 정확히 일치하는 응답 수</x:v>
      </x:c>
    </x:row>
    <x:row r="157" ht="38" customHeight="1">
      <x:c r="A157" s="397" t="str">
        <x:v>V</x:v>
      </x:c>
      <x:c r="B157" s="382" t="str">
        <x:v>결제일·갱신일을 관리하기 어려움</x:v>
      </x:c>
      <x:c r="C157" s="398" t="n">
        <x:f>COUNTIF('04_원본응답'!$V$2:$V$101,"결제일·갱신일을 관리하기 어려움")</x:f>
        <x:v>1</x:v>
      </x:c>
      <x:c r="D157" s="382" t="str">
        <x:v>원본 조합과 정확히 일치하는 응답 수</x:v>
      </x:c>
    </x:row>
    <x:row r="158" ht="38" customHeight="1">
      <x:c r="A158" s="397" t="str">
        <x:v>V</x:v>
      </x:c>
      <x:c r="B158" s="382" t="str">
        <x:v>결제일·갱신일을 관리하기 어려움, 여러 앱·사이트를 확인해야 해서 번거로움</x:v>
      </x:c>
      <x:c r="C158" s="398" t="n">
        <x:f>COUNTIF('04_원본응답'!$V$2:$V$101,"결제일·갱신일을 관리하기 어려움, 여러 앱·사이트를 확인해야 해서 번거로움")</x:f>
        <x:v>1</x:v>
      </x:c>
      <x:c r="D158" s="382" t="str">
        <x:v>원본 조합과 정확히 일치하는 응답 수</x:v>
      </x:c>
    </x:row>
    <x:row r="159" ht="38" customHeight="1">
      <x:c r="A159" s="397" t="str">
        <x:v>V</x:v>
      </x:c>
      <x:c r="B159" s="382" t="str">
        <x:v>매월 총 얼마를 지출하는지 파악하기 어려움, 혜택 적용 조건이 복잡함</x:v>
      </x:c>
      <x:c r="C159" s="398" t="n">
        <x:f>COUNTIF('04_원본응답'!$V$2:$V$101,"매월 총 얼마를 지출하는지 파악하기 어려움, 혜택 적용 조건이 복잡함")</x:f>
        <x:v>1</x:v>
      </x:c>
      <x:c r="D159" s="382" t="str">
        <x:v>원본 조합과 정확히 일치하는 응답 수</x:v>
      </x:c>
    </x:row>
    <x:row r="160" ht="38" customHeight="1">
      <x:c r="A160" s="397" t="str">
        <x:v>V</x:v>
      </x:c>
      <x:c r="B160" s="382" t="str">
        <x:v>현재 어떤 상품을 이용 중인지 한눈에 보기 어려움, 매월 총 얼마를 지출하는지 파악하기 어려움, 혜택 적용 조건이 복잡함, 기존 상품과 중복되는 구독·혜택을 확인하기 어려움, 여러 앱·사이트를 확인해야 해서 번거로움</x:v>
      </x:c>
      <x:c r="C160" s="398" t="n">
        <x:f>COUNTIF('04_원본응답'!$V$2:$V$101,"현재 어떤 상품을 이용 중인지 한눈에 보기 어려움, 매월 총 얼마를 지출하는지 파악하기 어려움, 혜택 적용 조건이 복잡함, 기존 상품과 중복되는 구독·혜택을 확인하기 어려움, 여러 앱·사이트를 확인해야 해서 번거로움")</x:f>
        <x:v>2</x:v>
      </x:c>
      <x:c r="D160" s="382" t="str">
        <x:v>원본 조합과 정확히 일치하는 응답 수</x:v>
      </x:c>
    </x:row>
    <x:row r="161" ht="38" customHeight="1">
      <x:c r="A161" s="397" t="str">
        <x:v>V</x:v>
      </x:c>
      <x:c r="B161" s="382" t="str">
        <x:v>현재 어떤 상품을 이용 중인지 한눈에 보기 어려움, 매월 총 얼마를 지출하는지 파악하기 어려움, 혜택 적용 조건이 복잡함, 결제일·갱신일을 관리하기 어려움, 기존 상품과 중복되는 구독·혜택을 확인하기 어려움</x:v>
      </x:c>
      <x:c r="C161" s="398" t="n">
        <x:f>COUNTIF('04_원본응답'!$V$2:$V$101,"현재 어떤 상품을 이용 중인지 한눈에 보기 어려움, 매월 총 얼마를 지출하는지 파악하기 어려움, 혜택 적용 조건이 복잡함, 결제일·갱신일을 관리하기 어려움, 기존 상품과 중복되는 구독·혜택을 확인하기 어려움")</x:f>
        <x:v>2</x:v>
      </x:c>
      <x:c r="D161" s="382" t="str">
        <x:v>원본 조합과 정확히 일치하는 응답 수</x:v>
      </x:c>
    </x:row>
    <x:row r="162" ht="38" customHeight="1">
      <x:c r="A162" s="397" t="str">
        <x:v>V</x:v>
      </x:c>
      <x:c r="B162" s="382" t="str">
        <x:v>기존 상품과 중복되는 구독·혜택을 확인하기 어려움, 공동 구독 정산이 번거로움, 여러 앱·사이트를 확인해야 해서 번거로움</x:v>
      </x:c>
      <x:c r="C162" s="398" t="n">
        <x:f>COUNTIF('04_원본응답'!$V$2:$V$101,"기존 상품과 중복되는 구독·혜택을 확인하기 어려움, 공동 구독 정산이 번거로움, 여러 앱·사이트를 확인해야 해서 번거로움")</x:f>
        <x:v>1</x:v>
      </x:c>
      <x:c r="D162" s="382" t="str">
        <x:v>원본 조합과 정확히 일치하는 응답 수</x:v>
      </x:c>
    </x:row>
    <x:row r="163" ht="38" customHeight="1">
      <x:c r="A163" s="397" t="str">
        <x:v>V</x:v>
      </x:c>
      <x:c r="B163" s="382" t="str">
        <x:v>현재 어떤 상품을 이용 중인지 한눈에 보기 어려움, 매월 총 얼마를 지출하는지 파악하기 어려움, 혜택 적용 조건이 복잡함</x:v>
      </x:c>
      <x:c r="C163" s="398" t="n">
        <x:f>COUNTIF('04_원본응답'!$V$2:$V$101,"현재 어떤 상품을 이용 중인지 한눈에 보기 어려움, 매월 총 얼마를 지출하는지 파악하기 어려움, 혜택 적용 조건이 복잡함")</x:f>
        <x:v>1</x:v>
      </x:c>
      <x:c r="D163" s="382" t="str">
        <x:v>원본 조합과 정확히 일치하는 응답 수</x:v>
      </x:c>
    </x:row>
    <x:row r="164" ht="38" customHeight="1">
      <x:c r="A164" s="397" t="str">
        <x:v>V</x:v>
      </x:c>
      <x:c r="B164" s="382" t="str">
        <x:v>현재 어떤 상품을 이용 중인지 한눈에 보기 어려움, 기존 상품과 중복되는 구독·혜택을 확인하기 어려움</x:v>
      </x:c>
      <x:c r="C164" s="398" t="n">
        <x:f>COUNTIF('04_원본응답'!$V$2:$V$101,"현재 어떤 상품을 이용 중인지 한눈에 보기 어려움, 기존 상품과 중복되는 구독·혜택을 확인하기 어려움")</x:f>
        <x:v>1</x:v>
      </x:c>
      <x:c r="D164" s="382" t="str">
        <x:v>원본 조합과 정확히 일치하는 응답 수</x:v>
      </x:c>
    </x:row>
    <x:row r="165" ht="38" customHeight="1">
      <x:c r="A165" s="397" t="str">
        <x:v>V</x:v>
      </x:c>
      <x:c r="B165" s="382" t="str">
        <x:v>매월 총 얼마를 지출하는지 파악하기 어려움, 혜택 적용 조건이 복잡함, 기존 상품과 중복되는 구독·혜택을 확인하기 어려움</x:v>
      </x:c>
      <x:c r="C165" s="398" t="n">
        <x:f>COUNTIF('04_원본응답'!$V$2:$V$101,"매월 총 얼마를 지출하는지 파악하기 어려움, 혜택 적용 조건이 복잡함, 기존 상품과 중복되는 구독·혜택을 확인하기 어려움")</x:f>
        <x:v>1</x:v>
      </x:c>
      <x:c r="D165" s="382" t="str">
        <x:v>원본 조합과 정확히 일치하는 응답 수</x:v>
      </x:c>
    </x:row>
    <x:row r="166" ht="38" customHeight="1">
      <x:c r="A166" s="397" t="str">
        <x:v>V</x:v>
      </x:c>
      <x:c r="B166" s="382" t="str">
        <x:v>현재 어떤 상품을 이용 중인지 한눈에 보기 어려움, 매월 총 얼마를 지출하는지 파악하기 어려움, 공동 구독 정산이 번거로움</x:v>
      </x:c>
      <x:c r="C166" s="398" t="n">
        <x:f>COUNTIF('04_원본응답'!$V$2:$V$101,"현재 어떤 상품을 이용 중인지 한눈에 보기 어려움, 매월 총 얼마를 지출하는지 파악하기 어려움, 공동 구독 정산이 번거로움")</x:f>
        <x:v>1</x:v>
      </x:c>
      <x:c r="D166" s="382" t="str">
        <x:v>원본 조합과 정확히 일치하는 응답 수</x:v>
      </x:c>
    </x:row>
    <x:row r="167" ht="38" customHeight="1">
      <x:c r="A167" s="397" t="str">
        <x:v>X</x:v>
      </x:c>
      <x:c r="B167" s="382" t="str">
        <x:v>현재 이용 중인 전체 구독·멤버십, 이번 달 총 결제 예정금액, 내가 현재 보유한 전체 혜택, 기존 상품과 중복 가능성이 있는 구독·혜택, 더 유리한 이용방법</x:v>
      </x:c>
      <x:c r="C167" s="398" t="n">
        <x:f>COUNTIF('04_원본응답'!$X$2:$X$101,"현재 이용 중인 전체 구독·멤버십, 이번 달 총 결제 예정금액, 내가 현재 보유한 전체 혜택, 기존 상품과 중복 가능성이 있는 구독·혜택, 더 유리한 이용방법")</x:f>
        <x:v>2</x:v>
      </x:c>
      <x:c r="D167" s="382" t="str">
        <x:v>원본 조합과 정확히 일치하는 응답 수</x:v>
      </x:c>
    </x:row>
    <x:row r="168" ht="38" customHeight="1">
      <x:c r="A168" s="397" t="str">
        <x:v>X</x:v>
      </x:c>
      <x:c r="B168" s="382" t="str">
        <x:v>현재 이용 중인 전체 구독·멤버십, 이번 달 총 결제 예정금액, 내가 현재 보유한 전체 혜택</x:v>
      </x:c>
      <x:c r="C168" s="398" t="n">
        <x:f>COUNTIF('04_원본응답'!$X$2:$X$101,"현재 이용 중인 전체 구독·멤버십, 이번 달 총 결제 예정금액, 내가 현재 보유한 전체 혜택")</x:f>
        <x:v>12</x:v>
      </x:c>
      <x:c r="D168" s="382" t="str">
        <x:v>원본 조합과 정확히 일치하는 응답 수</x:v>
      </x:c>
    </x:row>
    <x:row r="169" ht="38" customHeight="1">
      <x:c r="A169" s="397" t="str">
        <x:v>X</x:v>
      </x:c>
      <x:c r="B169" s="382" t="str">
        <x:v>현재 이용 중인 전체 구독·멤버십, 이번 달 총 결제 예정금액, 기존 상품과 중복 가능성이 있는 구독·혜택, 공동 구독 상품 및 정산정보</x:v>
      </x:c>
      <x:c r="C169" s="398" t="n">
        <x:f>COUNTIF('04_원본응답'!$X$2:$X$101,"현재 이용 중인 전체 구독·멤버십, 이번 달 총 결제 예정금액, 기존 상품과 중복 가능성이 있는 구독·혜택, 공동 구독 상품 및 정산정보")</x:f>
        <x:v>1</x:v>
      </x:c>
      <x:c r="D169" s="382" t="str">
        <x:v>원본 조합과 정확히 일치하는 응답 수</x:v>
      </x:c>
    </x:row>
    <x:row r="170" ht="38" customHeight="1">
      <x:c r="A170" s="397" t="str">
        <x:v>X</x:v>
      </x:c>
      <x:c r="B170" s="382" t="str">
        <x:v>현재 이용 중인 전체 구독·멤버십, 이번 달 총 결제 예정금액, 내가 현재 보유한 전체 혜택, 기존 상품과 중복 가능성이 있는 구독·혜택</x:v>
      </x:c>
      <x:c r="C170" s="398" t="n">
        <x:f>COUNTIF('04_원본응답'!$X$2:$X$101,"현재 이용 중인 전체 구독·멤버십, 이번 달 총 결제 예정금액, 내가 현재 보유한 전체 혜택, 기존 상품과 중복 가능성이 있는 구독·혜택")</x:f>
        <x:v>5</x:v>
      </x:c>
      <x:c r="D170" s="382" t="str">
        <x:v>원본 조합과 정확히 일치하는 응답 수</x:v>
      </x:c>
    </x:row>
    <x:row r="171" ht="38" customHeight="1">
      <x:c r="A171" s="397" t="str">
        <x:v>X</x:v>
      </x:c>
      <x:c r="B171" s="382" t="str">
        <x:v>현재 이용 중인 전체 구독·멤버십, 내가 현재 보유한 전체 혜택, 기존 상품과 중복 가능성이 있는 구독·혜택, 더 유리한 이용방법</x:v>
      </x:c>
      <x:c r="C171" s="398" t="n">
        <x:f>COUNTIF('04_원본응답'!$X$2:$X$101,"현재 이용 중인 전체 구독·멤버십, 내가 현재 보유한 전체 혜택, 기존 상품과 중복 가능성이 있는 구독·혜택, 더 유리한 이용방법")</x:f>
        <x:v>2</x:v>
      </x:c>
      <x:c r="D171" s="382" t="str">
        <x:v>원본 조합과 정확히 일치하는 응답 수</x:v>
      </x:c>
    </x:row>
    <x:row r="172" ht="38" customHeight="1">
      <x:c r="A172" s="397" t="str">
        <x:v>X</x:v>
      </x:c>
      <x:c r="B172" s="382" t="str">
        <x:v>이번 달 총 결제 예정금액, 내가 현재 보유한 전체 혜택, 더 유리한 이용방법</x:v>
      </x:c>
      <x:c r="C172" s="398" t="n">
        <x:f>COUNTIF('04_원본응답'!$X$2:$X$101,"이번 달 총 결제 예정금액, 내가 현재 보유한 전체 혜택, 더 유리한 이용방법")</x:f>
        <x:v>4</x:v>
      </x:c>
      <x:c r="D172" s="382" t="str">
        <x:v>원본 조합과 정확히 일치하는 응답 수</x:v>
      </x:c>
    </x:row>
    <x:row r="173" ht="38" customHeight="1">
      <x:c r="A173" s="397" t="str">
        <x:v>X</x:v>
      </x:c>
      <x:c r="B173" s="382" t="str">
        <x:v>현재 이용 중인 전체 구독·멤버십, 더 유리한 이용방법</x:v>
      </x:c>
      <x:c r="C173" s="398" t="n">
        <x:f>COUNTIF('04_원본응답'!$X$2:$X$101,"현재 이용 중인 전체 구독·멤버십, 더 유리한 이용방법")</x:f>
        <x:v>1</x:v>
      </x:c>
      <x:c r="D173" s="382" t="str">
        <x:v>원본 조합과 정확히 일치하는 응답 수</x:v>
      </x:c>
    </x:row>
    <x:row r="174" ht="38" customHeight="1">
      <x:c r="A174" s="397" t="str">
        <x:v>X</x:v>
      </x:c>
      <x:c r="B174" s="382" t="str">
        <x:v>현재 이용 중인 전체 구독·멤버십, 이번 달 총 결제 예정금액, 내가 현재 보유한 전체 혜택, 기존 상품과 중복 가능성이 있는 구독·혜택, 더 유리한 이용방법, 변경·해지하기 적절한 시점, 공동 구독 상품 및 정산정보</x:v>
      </x:c>
      <x:c r="C174" s="398" t="n">
        <x:f>COUNTIF('04_원본응답'!$X$2:$X$101,"현재 이용 중인 전체 구독·멤버십, 이번 달 총 결제 예정금액, 내가 현재 보유한 전체 혜택, 기존 상품과 중복 가능성이 있는 구독·혜택, 더 유리한 이용방법, 변경·해지하기 적절한 시점, 공동 구독 상품 및 정산정보")</x:f>
        <x:v>3</x:v>
      </x:c>
      <x:c r="D174" s="382" t="str">
        <x:v>원본 조합과 정확히 일치하는 응답 수</x:v>
      </x:c>
    </x:row>
    <x:row r="175" ht="38" customHeight="1">
      <x:c r="A175" s="397" t="str">
        <x:v>X</x:v>
      </x:c>
      <x:c r="B175" s="382" t="str">
        <x:v>현재 이용 중인 전체 구독·멤버십, 내가 현재 보유한 전체 혜택, 더 유리한 이용방법</x:v>
      </x:c>
      <x:c r="C175" s="398" t="n">
        <x:f>COUNTIF('04_원본응답'!$X$2:$X$101,"현재 이용 중인 전체 구독·멤버십, 내가 현재 보유한 전체 혜택, 더 유리한 이용방법")</x:f>
        <x:v>2</x:v>
      </x:c>
      <x:c r="D175" s="382" t="str">
        <x:v>원본 조합과 정확히 일치하는 응답 수</x:v>
      </x:c>
    </x:row>
    <x:row r="176" ht="38" customHeight="1">
      <x:c r="A176" s="397" t="str">
        <x:v>X</x:v>
      </x:c>
      <x:c r="B176" s="382" t="str">
        <x:v>현재 이용 중인 전체 구독·멤버십</x:v>
      </x:c>
      <x:c r="C176" s="398" t="n">
        <x:f>COUNTIF('04_원본응답'!$X$2:$X$101,"현재 이용 중인 전체 구독·멤버십")</x:f>
        <x:v>8</x:v>
      </x:c>
      <x:c r="D176" s="382" t="str">
        <x:v>원본 조합과 정확히 일치하는 응답 수</x:v>
      </x:c>
    </x:row>
    <x:row r="177" ht="38" customHeight="1">
      <x:c r="A177" s="397" t="str">
        <x:v>X</x:v>
      </x:c>
      <x:c r="B177" s="382" t="str">
        <x:v>현재 이용 중인 전체 구독·멤버십, 이번 달 총 결제 예정금액</x:v>
      </x:c>
      <x:c r="C177" s="398" t="n">
        <x:f>COUNTIF('04_원본응답'!$X$2:$X$101,"현재 이용 중인 전체 구독·멤버십, 이번 달 총 결제 예정금액")</x:f>
        <x:v>5</x:v>
      </x:c>
      <x:c r="D177" s="382" t="str">
        <x:v>원본 조합과 정확히 일치하는 응답 수</x:v>
      </x:c>
    </x:row>
    <x:row r="178" ht="38" customHeight="1">
      <x:c r="A178" s="397" t="str">
        <x:v>X</x:v>
      </x:c>
      <x:c r="B178" s="382" t="str">
        <x:v>현재 이용 중인 전체 구독·멤버십, 내가 현재 보유한 전체 혜택</x:v>
      </x:c>
      <x:c r="C178" s="398" t="n">
        <x:f>COUNTIF('04_원본응답'!$X$2:$X$101,"현재 이용 중인 전체 구독·멤버십, 내가 현재 보유한 전체 혜택")</x:f>
        <x:v>3</x:v>
      </x:c>
      <x:c r="D178" s="382" t="str">
        <x:v>원본 조합과 정확히 일치하는 응답 수</x:v>
      </x:c>
    </x:row>
    <x:row r="179" ht="38" customHeight="1">
      <x:c r="A179" s="397" t="str">
        <x:v>X</x:v>
      </x:c>
      <x:c r="B179" s="382" t="str">
        <x:v>현재 이용 중인 전체 구독·멤버십, 이번 달 총 결제 예정금액, 더 유리한 이용방법</x:v>
      </x:c>
      <x:c r="C179" s="398" t="n">
        <x:f>COUNTIF('04_원본응답'!$X$2:$X$101,"현재 이용 중인 전체 구독·멤버십, 이번 달 총 결제 예정금액, 더 유리한 이용방법")</x:f>
        <x:v>5</x:v>
      </x:c>
      <x:c r="D179" s="382" t="str">
        <x:v>원본 조합과 정확히 일치하는 응답 수</x:v>
      </x:c>
    </x:row>
    <x:row r="180" ht="38" customHeight="1">
      <x:c r="A180" s="397" t="str">
        <x:v>X</x:v>
      </x:c>
      <x:c r="B180" s="382" t="str">
        <x:v>내가 현재 보유한 전체 혜택, 공동 구독 상품 및 정산정보</x:v>
      </x:c>
      <x:c r="C180" s="398" t="n">
        <x:f>COUNTIF('04_원본응답'!$X$2:$X$101,"내가 현재 보유한 전체 혜택, 공동 구독 상품 및 정산정보")</x:f>
        <x:v>1</x:v>
      </x:c>
      <x:c r="D180" s="382" t="str">
        <x:v>원본 조합과 정확히 일치하는 응답 수</x:v>
      </x:c>
    </x:row>
    <x:row r="181" ht="38" customHeight="1">
      <x:c r="A181" s="397" t="str">
        <x:v>X</x:v>
      </x:c>
      <x:c r="B181" s="382" t="str">
        <x:v>내가 현재 보유한 전체 혜택, 기존 상품과 중복 가능성이 있는 구독·혜택, 더 유리한 이용방법</x:v>
      </x:c>
      <x:c r="C181" s="398" t="n">
        <x:f>COUNTIF('04_원본응답'!$X$2:$X$101,"내가 현재 보유한 전체 혜택, 기존 상품과 중복 가능성이 있는 구독·혜택, 더 유리한 이용방법")</x:f>
        <x:v>1</x:v>
      </x:c>
      <x:c r="D181" s="382" t="str">
        <x:v>원본 조합과 정확히 일치하는 응답 수</x:v>
      </x:c>
    </x:row>
    <x:row r="182" ht="38" customHeight="1">
      <x:c r="A182" s="397" t="str">
        <x:v>X</x:v>
      </x:c>
      <x:c r="B182" s="382" t="str">
        <x:v>더 유리한 이용방법</x:v>
      </x:c>
      <x:c r="C182" s="398" t="n">
        <x:f>COUNTIF('04_원본응답'!$X$2:$X$101,"더 유리한 이용방법")</x:f>
        <x:v>3</x:v>
      </x:c>
      <x:c r="D182" s="382" t="str">
        <x:v>원본 조합과 정확히 일치하는 응답 수</x:v>
      </x:c>
    </x:row>
    <x:row r="183" ht="38" customHeight="1">
      <x:c r="A183" s="397" t="str">
        <x:v>X</x:v>
      </x:c>
      <x:c r="B183" s="382" t="str">
        <x:v>현재 이용 중인 전체 구독·멤버십, 이번 달 총 결제 예정금액, 변경·해지하기 적절한 시점</x:v>
      </x:c>
      <x:c r="C183" s="398" t="n">
        <x:f>COUNTIF('04_원본응답'!$X$2:$X$101,"현재 이용 중인 전체 구독·멤버십, 이번 달 총 결제 예정금액, 변경·해지하기 적절한 시점")</x:f>
        <x:v>3</x:v>
      </x:c>
      <x:c r="D183" s="382" t="str">
        <x:v>원본 조합과 정확히 일치하는 응답 수</x:v>
      </x:c>
    </x:row>
    <x:row r="184" ht="38" customHeight="1">
      <x:c r="A184" s="397" t="str">
        <x:v>X</x:v>
      </x:c>
      <x:c r="B184" s="382" t="str">
        <x:v>현재 이용 중인 전체 구독·멤버십, 이번 달 총 결제 예정금액, 내가 현재 보유한 전체 혜택, 더 유리한 이용방법</x:v>
      </x:c>
      <x:c r="C184" s="398" t="n">
        <x:f>COUNTIF('04_원본응답'!$X$2:$X$101,"현재 이용 중인 전체 구독·멤버십, 이번 달 총 결제 예정금액, 내가 현재 보유한 전체 혜택, 더 유리한 이용방법")</x:f>
        <x:v>7</x:v>
      </x:c>
      <x:c r="D184" s="382" t="str">
        <x:v>원본 조합과 정확히 일치하는 응답 수</x:v>
      </x:c>
    </x:row>
    <x:row r="185" ht="38" customHeight="1">
      <x:c r="A185" s="397" t="str">
        <x:v>X</x:v>
      </x:c>
      <x:c r="B185" s="382" t="str">
        <x:v>내가 현재 보유한 전체 혜택, 더 유리한 이용방법, 공동 구독 상품 및 정산정보</x:v>
      </x:c>
      <x:c r="C185" s="398" t="n">
        <x:f>COUNTIF('04_원본응답'!$X$2:$X$101,"내가 현재 보유한 전체 혜택, 더 유리한 이용방법, 공동 구독 상품 및 정산정보")</x:f>
        <x:v>1</x:v>
      </x:c>
      <x:c r="D185" s="382" t="str">
        <x:v>원본 조합과 정확히 일치하는 응답 수</x:v>
      </x:c>
    </x:row>
    <x:row r="186" ht="38" customHeight="1">
      <x:c r="A186" s="397" t="str">
        <x:v>X</x:v>
      </x:c>
      <x:c r="B186" s="382" t="str">
        <x:v>현재 이용 중인 전체 구독·멤버십, 내가 현재 보유한 전체 혜택, 기존 상품과 중복 가능성이 있는 구독·혜택</x:v>
      </x:c>
      <x:c r="C186" s="398" t="n">
        <x:f>COUNTIF('04_원본응답'!$X$2:$X$101,"현재 이용 중인 전체 구독·멤버십, 내가 현재 보유한 전체 혜택, 기존 상품과 중복 가능성이 있는 구독·혜택")</x:f>
        <x:v>1</x:v>
      </x:c>
      <x:c r="D186" s="382" t="str">
        <x:v>원본 조합과 정확히 일치하는 응답 수</x:v>
      </x:c>
    </x:row>
    <x:row r="187" ht="38" customHeight="1">
      <x:c r="A187" s="397" t="str">
        <x:v>X</x:v>
      </x:c>
      <x:c r="B187" s="382" t="str">
        <x:v>현재 이용 중인 전체 구독·멤버십, 이번 달 총 결제 예정금액, 내가 현재 보유한 전체 혜택, 기존 상품과 중복 가능성이 있는 구독·혜택, 더 유리한 이용방법, 변경·해지하기 적절한 시점</x:v>
      </x:c>
      <x:c r="C187" s="398" t="n">
        <x:f>COUNTIF('04_원본응답'!$X$2:$X$101,"현재 이용 중인 전체 구독·멤버십, 이번 달 총 결제 예정금액, 내가 현재 보유한 전체 혜택, 기존 상품과 중복 가능성이 있는 구독·혜택, 더 유리한 이용방법, 변경·해지하기 적절한 시점")</x:f>
        <x:v>2</x:v>
      </x:c>
      <x:c r="D187" s="382" t="str">
        <x:v>원본 조합과 정확히 일치하는 응답 수</x:v>
      </x:c>
    </x:row>
    <x:row r="188" ht="38" customHeight="1">
      <x:c r="A188" s="397" t="str">
        <x:v>X</x:v>
      </x:c>
      <x:c r="B188" s="382" t="str">
        <x:v>내가 현재 보유한 전체 혜택</x:v>
      </x:c>
      <x:c r="C188" s="398" t="n">
        <x:f>COUNTIF('04_원본응답'!$X$2:$X$101,"내가 현재 보유한 전체 혜택")</x:f>
        <x:v>2</x:v>
      </x:c>
      <x:c r="D188" s="382" t="str">
        <x:v>원본 조합과 정확히 일치하는 응답 수</x:v>
      </x:c>
    </x:row>
    <x:row r="189" ht="38" customHeight="1">
      <x:c r="A189" s="397" t="str">
        <x:v>X</x:v>
      </x:c>
      <x:c r="B189" s="382" t="str">
        <x:v>이번 달 총 결제 예정금액</x:v>
      </x:c>
      <x:c r="C189" s="398" t="n">
        <x:f>COUNTIF('04_원본응답'!$X$2:$X$101,"이번 달 총 결제 예정금액")</x:f>
        <x:v>2</x:v>
      </x:c>
      <x:c r="D189" s="382" t="str">
        <x:v>원본 조합과 정확히 일치하는 응답 수</x:v>
      </x:c>
    </x:row>
    <x:row r="190" ht="38" customHeight="1">
      <x:c r="A190" s="397" t="str">
        <x:v>X</x:v>
      </x:c>
      <x:c r="B190" s="382" t="str">
        <x:v>별로 필요하지 않음</x:v>
      </x:c>
      <x:c r="C190" s="398" t="n">
        <x:f>COUNTIF('04_원본응답'!$X$2:$X$101,"별로 필요하지 않음")</x:f>
        <x:v>3</x:v>
      </x:c>
      <x:c r="D190" s="382" t="str">
        <x:v>원본 조합과 정확히 일치하는 응답 수</x:v>
      </x:c>
    </x:row>
    <x:row r="191" ht="38" customHeight="1">
      <x:c r="A191" s="397" t="str">
        <x:v>X</x:v>
      </x:c>
      <x:c r="B191" s="382" t="str">
        <x:v>현재 이용 중인 전체 구독·멤버십, 기존 상품과 중복 가능성이 있는 구독·혜택, 변경·해지하기 적절한 시점</x:v>
      </x:c>
      <x:c r="C191" s="398" t="n">
        <x:f>COUNTIF('04_원본응답'!$X$2:$X$101,"현재 이용 중인 전체 구독·멤버십, 기존 상품과 중복 가능성이 있는 구독·혜택, 변경·해지하기 적절한 시점")</x:f>
        <x:v>1</x:v>
      </x:c>
      <x:c r="D191" s="382" t="str">
        <x:v>원본 조합과 정확히 일치하는 응답 수</x:v>
      </x:c>
    </x:row>
    <x:row r="192" ht="38" customHeight="1">
      <x:c r="A192" s="397" t="str">
        <x:v>X</x:v>
      </x:c>
      <x:c r="B192" s="382" t="str">
        <x:v>현재 이용 중인 전체 구독·멤버십, 내가 현재 보유한 전체 혜택, 기존 상품과 중복 가능성이 있는 구독·혜택, 더 유리한 이용방법, 공동 구독 상품 및 정산정보</x:v>
      </x:c>
      <x:c r="C192" s="398" t="n">
        <x:f>COUNTIF('04_원본응답'!$X$2:$X$101,"현재 이용 중인 전체 구독·멤버십, 내가 현재 보유한 전체 혜택, 기존 상품과 중복 가능성이 있는 구독·혜택, 더 유리한 이용방법, 공동 구독 상품 및 정산정보")</x:f>
        <x:v>1</x:v>
      </x:c>
      <x:c r="D192" s="382" t="str">
        <x:v>원본 조합과 정확히 일치하는 응답 수</x:v>
      </x:c>
    </x:row>
    <x:row r="193" ht="38" customHeight="1">
      <x:c r="A193" s="397" t="str">
        <x:v>X</x:v>
      </x:c>
      <x:c r="B193" s="382" t="str">
        <x:v>현재 이용 중인 전체 구독·멤버십, 더 유리한 이용방법, 변경·해지하기 적절한 시점</x:v>
      </x:c>
      <x:c r="C193" s="398" t="n">
        <x:f>COUNTIF('04_원본응답'!$X$2:$X$101,"현재 이용 중인 전체 구독·멤버십, 더 유리한 이용방법, 변경·해지하기 적절한 시점")</x:f>
        <x:v>1</x:v>
      </x:c>
      <x:c r="D193" s="382" t="str">
        <x:v>원본 조합과 정확히 일치하는 응답 수</x:v>
      </x:c>
    </x:row>
    <x:row r="194" ht="38" customHeight="1">
      <x:c r="A194" s="397" t="str">
        <x:v>X</x:v>
      </x:c>
      <x:c r="B194" s="382" t="str">
        <x:v>현재 이용 중인 전체 구독·멤버십, 내가 현재 보유한 전체 혜택, 기존 상품과 중복 가능성이 있는 구독·혜택, 변경·해지하기 적절한 시점</x:v>
      </x:c>
      <x:c r="C194" s="398" t="n">
        <x:f>COUNTIF('04_원본응답'!$X$2:$X$101,"현재 이용 중인 전체 구독·멤버십, 내가 현재 보유한 전체 혜택, 기존 상품과 중복 가능성이 있는 구독·혜택, 변경·해지하기 적절한 시점")</x:f>
        <x:v>1</x:v>
      </x:c>
      <x:c r="D194" s="382" t="str">
        <x:v>원본 조합과 정확히 일치하는 응답 수</x:v>
      </x:c>
    </x:row>
    <x:row r="195" ht="38" customHeight="1">
      <x:c r="A195" s="397" t="str">
        <x:v>X</x:v>
      </x:c>
      <x:c r="B195" s="382" t="str">
        <x:v>현재 이용 중인 전체 구독·멤버십, 이번 달 총 결제 예정금액, 더 유리한 이용방법, 공동 구독 상품 및 정산정보</x:v>
      </x:c>
      <x:c r="C195" s="398" t="n">
        <x:f>COUNTIF('04_원본응답'!$X$2:$X$101,"현재 이용 중인 전체 구독·멤버십, 이번 달 총 결제 예정금액, 더 유리한 이용방법, 공동 구독 상품 및 정산정보")</x:f>
        <x:v>1</x:v>
      </x:c>
      <x:c r="D195" s="382" t="str">
        <x:v>원본 조합과 정확히 일치하는 응답 수</x:v>
      </x:c>
    </x:row>
    <x:row r="196" ht="38" customHeight="1">
      <x:c r="A196" s="397" t="str">
        <x:v>X</x:v>
      </x:c>
      <x:c r="B196" s="382" t="str">
        <x:v>현재 이용 중인 전체 구독·멤버십, 이번 달 총 결제 예정금액, 기존 상품과 중복 가능성이 있는 구독·혜택</x:v>
      </x:c>
      <x:c r="C196" s="398" t="n">
        <x:f>COUNTIF('04_원본응답'!$X$2:$X$101,"현재 이용 중인 전체 구독·멤버십, 이번 달 총 결제 예정금액, 기존 상품과 중복 가능성이 있는 구독·혜택")</x:f>
        <x:v>2</x:v>
      </x:c>
      <x:c r="D196" s="382" t="str">
        <x:v>원본 조합과 정확히 일치하는 응답 수</x:v>
      </x:c>
    </x:row>
    <x:row r="197" ht="38" customHeight="1">
      <x:c r="A197" s="397" t="str">
        <x:v>X</x:v>
      </x:c>
      <x:c r="B197" s="382" t="str">
        <x:v>기존 상품과 중복 가능성이 있는 구독·혜택</x:v>
      </x:c>
      <x:c r="C197" s="398" t="n">
        <x:f>COUNTIF('04_원본응답'!$X$2:$X$101,"기존 상품과 중복 가능성이 있는 구독·혜택")</x:f>
        <x:v>2</x:v>
      </x:c>
      <x:c r="D197" s="382" t="str">
        <x:v>원본 조합과 정확히 일치하는 응답 수</x:v>
      </x:c>
    </x:row>
    <x:row r="198" ht="38" customHeight="1">
      <x:c r="A198" s="397" t="str">
        <x:v>X</x:v>
      </x:c>
      <x:c r="B198" s="382" t="str">
        <x:v>내가 현재 보유한 전체 혜택, 변경·해지하기 적절한 시점</x:v>
      </x:c>
      <x:c r="C198" s="398" t="n">
        <x:f>COUNTIF('04_원본응답'!$X$2:$X$101,"내가 현재 보유한 전체 혜택, 변경·해지하기 적절한 시점")</x:f>
        <x:v>2</x:v>
      </x:c>
      <x:c r="D198" s="382" t="str">
        <x:v>원본 조합과 정확히 일치하는 응답 수</x:v>
      </x:c>
    </x:row>
    <x:row r="199" ht="38" customHeight="1">
      <x:c r="A199" s="397" t="str">
        <x:v>X</x:v>
      </x:c>
      <x:c r="B199" s="382" t="str">
        <x:v>더 유리한 이용방법, 변경·해지하기 적절한 시점</x:v>
      </x:c>
      <x:c r="C199" s="398" t="n">
        <x:f>COUNTIF('04_원본응답'!$X$2:$X$101,"더 유리한 이용방법, 변경·해지하기 적절한 시점")</x:f>
        <x:v>1</x:v>
      </x:c>
      <x:c r="D199" s="382" t="str">
        <x:v>원본 조합과 정확히 일치하는 응답 수</x:v>
      </x:c>
    </x:row>
    <x:row r="200" ht="38" customHeight="1">
      <x:c r="A200" s="397" t="str">
        <x:v>X</x:v>
      </x:c>
      <x:c r="B200" s="382" t="str">
        <x:v>내가 현재 보유한 전체 혜택, 기존 상품과 중복 가능성이 있는 구독·혜택, 더 유리한 이용방법, 변경·해지하기 적절한 시점</x:v>
      </x:c>
      <x:c r="C200" s="398" t="n">
        <x:f>COUNTIF('04_원본응답'!$X$2:$X$101,"내가 현재 보유한 전체 혜택, 기존 상품과 중복 가능성이 있는 구독·혜택, 더 유리한 이용방법, 변경·해지하기 적절한 시점")</x:f>
        <x:v>1</x:v>
      </x:c>
      <x:c r="D200" s="382" t="str">
        <x:v>원본 조합과 정확히 일치하는 응답 수</x:v>
      </x:c>
    </x:row>
    <x:row r="201" ht="38" customHeight="1">
      <x:c r="A201" s="397" t="str">
        <x:v>X</x:v>
      </x:c>
      <x:c r="B201" s="382" t="str">
        <x:v>변경·해지하기 적절한 시점</x:v>
      </x:c>
      <x:c r="C201" s="398" t="n">
        <x:f>COUNTIF('04_원본응답'!$X$2:$X$101,"변경·해지하기 적절한 시점")</x:f>
        <x:v>2</x:v>
      </x:c>
      <x:c r="D201" s="382" t="str">
        <x:v>원본 조합과 정확히 일치하는 응답 수</x:v>
      </x:c>
    </x:row>
    <x:row r="202" ht="38" customHeight="1">
      <x:c r="A202" s="397" t="str">
        <x:v>X</x:v>
      </x:c>
      <x:c r="B202" s="382" t="str">
        <x:v>현재 이용 중인 전체 구독·멤버십, 내가 현재 보유한 전체 혜택, 기존 상품과 중복 가능성이 있는 구독·혜택, 더 유리한 이용방법, 변경·해지하기 적절한 시점</x:v>
      </x:c>
      <x:c r="C202" s="398" t="n">
        <x:f>COUNTIF('04_원본응답'!$X$2:$X$101,"현재 이용 중인 전체 구독·멤버십, 내가 현재 보유한 전체 혜택, 기존 상품과 중복 가능성이 있는 구독·혜택, 더 유리한 이용방법, 변경·해지하기 적절한 시점")</x:f>
        <x:v>1</x:v>
      </x:c>
      <x:c r="D202" s="382" t="str">
        <x:v>원본 조합과 정확히 일치하는 응답 수</x:v>
      </x:c>
    </x:row>
    <x:row r="203" ht="38" customHeight="1">
      <x:c r="A203" s="397" t="str">
        <x:v>X</x:v>
      </x:c>
      <x:c r="B203" s="382" t="str">
        <x:v>이번 달 총 결제 예정금액, 더 유리한 이용방법</x:v>
      </x:c>
      <x:c r="C203" s="398" t="n">
        <x:f>COUNTIF('04_원본응답'!$X$2:$X$101,"이번 달 총 결제 예정금액, 더 유리한 이용방법")</x:f>
        <x:v>1</x:v>
      </x:c>
      <x:c r="D203" s="382" t="str">
        <x:v>원본 조합과 정확히 일치하는 응답 수</x:v>
      </x:c>
    </x:row>
    <x:row r="204" ht="38" customHeight="1">
      <x:c r="A204" s="397" t="str">
        <x:v>X</x:v>
      </x:c>
      <x:c r="B204" s="382" t="str">
        <x:v>이번 달 총 결제 예정금액, 내가 현재 보유한 전체 혜택, 변경·해지하기 적절한 시점</x:v>
      </x:c>
      <x:c r="C204" s="398" t="n">
        <x:f>COUNTIF('04_원본응답'!$X$2:$X$101,"이번 달 총 결제 예정금액, 내가 현재 보유한 전체 혜택, 변경·해지하기 적절한 시점")</x:f>
        <x:v>1</x:v>
      </x:c>
      <x:c r="D204" s="382" t="str">
        <x:v>원본 조합과 정확히 일치하는 응답 수</x:v>
      </x:c>
    </x:row>
    <x:row r="205" ht="38" customHeight="1">
      <x:c r="A205" s="397" t="str">
        <x:v>X</x:v>
      </x:c>
      <x:c r="B205" s="382" t="str">
        <x:v>공동 구독 상품 및 정산정보</x:v>
      </x:c>
      <x:c r="C205" s="398" t="n">
        <x:f>COUNTIF('04_원본응답'!$X$2:$X$101,"공동 구독 상품 및 정산정보")</x:f>
        <x:v>1</x:v>
      </x:c>
      <x:c r="D205" s="382" t="str">
        <x:v>원본 조합과 정확히 일치하는 응답 수</x:v>
      </x:c>
    </x:row>
    <x:row r="206" ht="38" customHeight="1">
      <x:c r="A206" s="397" t="str">
        <x:v>X</x:v>
      </x:c>
      <x:c r="B206" s="382" t="str">
        <x:v>현재 이용 중인 전체 구독·멤버십, 이번 달 총 결제 예정금액, 내가 현재 보유한 전체 혜택, 변경·해지하기 적절한 시점</x:v>
      </x:c>
      <x:c r="C206" s="398" t="n">
        <x:f>COUNTIF('04_원본응답'!$X$2:$X$101,"현재 이용 중인 전체 구독·멤버십, 이번 달 총 결제 예정금액, 내가 현재 보유한 전체 혜택, 변경·해지하기 적절한 시점")</x:f>
        <x:v>1</x:v>
      </x:c>
      <x:c r="D206" s="382" t="str">
        <x:v>원본 조합과 정확히 일치하는 응답 수</x:v>
      </x:c>
    </x:row>
    <x:row r="207" ht="38" customHeight="1">
      <x:c r="A207" s="397" t="str">
        <x:v>X</x:v>
      </x:c>
      <x:c r="B207" s="382" t="str">
        <x:v>더 유리한 이용방법, 공동 구독 상품 및 정산정보</x:v>
      </x:c>
      <x:c r="C207" s="398" t="n">
        <x:f>COUNTIF('04_원본응답'!$X$2:$X$101,"더 유리한 이용방법, 공동 구독 상품 및 정산정보")</x:f>
        <x:v>1</x:v>
      </x:c>
      <x:c r="D207" s="382" t="str">
        <x:v>원본 조합과 정확히 일치하는 응답 수</x:v>
      </x:c>
    </x:row>
    <x:row r="208" ht="38" customHeight="1">
      <x:c r="A208" s="397" t="str">
        <x:v>Y</x:v>
      </x:c>
      <x:c r="B208" s="382" t="str">
        <x:v>다음 결제 전, 무료체험 종료 전, 혜택 사용기간 종료 전, 보유 혜택과 별도 구독이 겹칠 가능성이 있을 때</x:v>
      </x:c>
      <x:c r="C208" s="398" t="n">
        <x:f>COUNTIF('04_원본응답'!$Y$2:$Y$101,"다음 결제 전, 무료체험 종료 전, 혜택 사용기간 종료 전, 보유 혜택과 별도 구독이 겹칠 가능성이 있을 때")</x:f>
        <x:v>1</x:v>
      </x:c>
      <x:c r="D208" s="382" t="str">
        <x:v>원본 조합과 정확히 일치하는 응답 수</x:v>
      </x:c>
    </x:row>
    <x:row r="209" ht="38" customHeight="1">
      <x:c r="A209" s="397" t="str">
        <x:v>Y</x:v>
      </x:c>
      <x:c r="B209" s="382" t="str">
        <x:v>다음 결제 전, 무료체험 종료 전</x:v>
      </x:c>
      <x:c r="C209" s="398" t="n">
        <x:f>COUNTIF('04_원본응답'!$Y$2:$Y$101,"다음 결제 전, 무료체험 종료 전")</x:f>
        <x:v>1</x:v>
      </x:c>
      <x:c r="D209" s="382" t="str">
        <x:v>원본 조합과 정확히 일치하는 응답 수</x:v>
      </x:c>
    </x:row>
    <x:row r="210" ht="38" customHeight="1">
      <x:c r="A210" s="397" t="str">
        <x:v>Y</x:v>
      </x:c>
      <x:c r="B210" s="382" t="str">
        <x:v>다음 결제 전, 자동 갱신 전, 가격 인상 적용 전, 보유 혜택과 별도 구독이 겹칠 가능성이 있을 때</x:v>
      </x:c>
      <x:c r="C210" s="398" t="n">
        <x:f>COUNTIF('04_원본응답'!$Y$2:$Y$101,"다음 결제 전, 자동 갱신 전, 가격 인상 적용 전, 보유 혜택과 별도 구독이 겹칠 가능성이 있을 때")</x:f>
        <x:v>1</x:v>
      </x:c>
      <x:c r="D210" s="382" t="str">
        <x:v>원본 조합과 정확히 일치하는 응답 수</x:v>
      </x:c>
    </x:row>
    <x:row r="211" ht="38" customHeight="1">
      <x:c r="A211" s="397" t="str">
        <x:v>Y</x:v>
      </x:c>
      <x:c r="B211" s="382" t="str">
        <x:v>다음 결제 전, 무료체험 종료 전, 자동 갱신 전, 가격 인상 적용 전, 통신·인터넷 약정 종료 전, 공동 구독 정산 시점</x:v>
      </x:c>
      <x:c r="C211" s="398" t="n">
        <x:f>COUNTIF('04_원본응답'!$Y$2:$Y$101,"다음 결제 전, 무료체험 종료 전, 자동 갱신 전, 가격 인상 적용 전, 통신·인터넷 약정 종료 전, 공동 구독 정산 시점")</x:f>
        <x:v>1</x:v>
      </x:c>
      <x:c r="D211" s="382" t="str">
        <x:v>원본 조합과 정확히 일치하는 응답 수</x:v>
      </x:c>
    </x:row>
    <x:row r="212" ht="38" customHeight="1">
      <x:c r="A212" s="397" t="str">
        <x:v>Y</x:v>
      </x:c>
      <x:c r="B212" s="382" t="str">
        <x:v>무료체험 종료 전, 자동 갱신 전, 가격 인상 적용 전</x:v>
      </x:c>
      <x:c r="C212" s="398" t="n">
        <x:f>COUNTIF('04_원본응답'!$Y$2:$Y$101,"무료체험 종료 전, 자동 갱신 전, 가격 인상 적용 전")</x:f>
        <x:v>1</x:v>
      </x:c>
      <x:c r="D212" s="382" t="str">
        <x:v>원본 조합과 정확히 일치하는 응답 수</x:v>
      </x:c>
    </x:row>
    <x:row r="213" ht="38" customHeight="1">
      <x:c r="A213" s="397" t="str">
        <x:v>Y</x:v>
      </x:c>
      <x:c r="B213" s="382" t="str">
        <x:v>무료체험 종료 및 자동 갱신 전, 혜택 사용기간 종료 전, 통신·인터넷 약정 종료 전, 가격 인상 적용 전, 보유 혜택과 별도 구독이 겹칠 가능성이 있을 때, 공동 구독 정산 시점</x:v>
      </x:c>
      <x:c r="C213" s="398" t="n">
        <x:f>COUNTIF('04_원본응답'!$Y$2:$Y$101,"무료체험 종료 및 자동 갱신 전, 혜택 사용기간 종료 전, 통신·인터넷 약정 종료 전, 가격 인상 적용 전, 보유 혜택과 별도 구독이 겹칠 가능성이 있을 때, 공동 구독 정산 시점")</x:f>
        <x:v>3</x:v>
      </x:c>
      <x:c r="D213" s="382" t="str">
        <x:v>원본 조합과 정확히 일치하는 응답 수</x:v>
      </x:c>
    </x:row>
    <x:row r="214" ht="38" customHeight="1">
      <x:c r="A214" s="397" t="str">
        <x:v>Y</x:v>
      </x:c>
      <x:c r="B214" s="382" t="str">
        <x:v>무료체험 종료 및 자동 갱신 전, 혜택 사용기간 종료 전, 통신·인터넷 약정 종료 전, 가격 인상 적용 전, 보유 혜택과 별도 구독이 겹칠 가능성이 있을 때</x:v>
      </x:c>
      <x:c r="C214" s="398" t="n">
        <x:f>COUNTIF('04_원본응답'!$Y$2:$Y$101,"무료체험 종료 및 자동 갱신 전, 혜택 사용기간 종료 전, 통신·인터넷 약정 종료 전, 가격 인상 적용 전, 보유 혜택과 별도 구독이 겹칠 가능성이 있을 때")</x:f>
        <x:v>3</x:v>
      </x:c>
      <x:c r="D214" s="382" t="str">
        <x:v>원본 조합과 정확히 일치하는 응답 수</x:v>
      </x:c>
    </x:row>
    <x:row r="215" ht="38" customHeight="1">
      <x:c r="A215" s="397" t="str">
        <x:v>Y</x:v>
      </x:c>
      <x:c r="B215" s="382" t="str">
        <x:v>가격 인상 적용 전, 보유 혜택과 별도 구독이 겹칠 가능성이 있을 때</x:v>
      </x:c>
      <x:c r="C215" s="398" t="n">
        <x:f>COUNTIF('04_원본응답'!$Y$2:$Y$101,"가격 인상 적용 전, 보유 혜택과 별도 구독이 겹칠 가능성이 있을 때")</x:f>
        <x:v>2</x:v>
      </x:c>
      <x:c r="D215" s="382" t="str">
        <x:v>원본 조합과 정확히 일치하는 응답 수</x:v>
      </x:c>
    </x:row>
    <x:row r="216" ht="38" customHeight="1">
      <x:c r="A216" s="397" t="str">
        <x:v>Y</x:v>
      </x:c>
      <x:c r="B216" s="382" t="str">
        <x:v>무료체험 종료 및 자동 갱신 전</x:v>
      </x:c>
      <x:c r="C216" s="398" t="n">
        <x:f>COUNTIF('04_원본응답'!$Y$2:$Y$101,"무료체험 종료 및 자동 갱신 전")</x:f>
        <x:v>13</x:v>
      </x:c>
      <x:c r="D216" s="382" t="str">
        <x:v>원본 조합과 정확히 일치하는 응답 수</x:v>
      </x:c>
    </x:row>
    <x:row r="217" ht="38" customHeight="1">
      <x:c r="A217" s="397" t="str">
        <x:v>Y</x:v>
      </x:c>
      <x:c r="B217" s="382" t="str">
        <x:v>무료체험 종료 및 자동 갱신 전, 통신·인터넷 약정 종료 전, 가격 인상 적용 전</x:v>
      </x:c>
      <x:c r="C217" s="398" t="n">
        <x:f>COUNTIF('04_원본응답'!$Y$2:$Y$101,"무료체험 종료 및 자동 갱신 전, 통신·인터넷 약정 종료 전, 가격 인상 적용 전")</x:f>
        <x:v>2</x:v>
      </x:c>
      <x:c r="D217" s="382" t="str">
        <x:v>원본 조합과 정확히 일치하는 응답 수</x:v>
      </x:c>
    </x:row>
    <x:row r="218" ht="38" customHeight="1">
      <x:c r="A218" s="397" t="str">
        <x:v>Y</x:v>
      </x:c>
      <x:c r="B218" s="382" t="str">
        <x:v>무료체험 종료 및 자동 갱신 전, 가격 인상 적용 전, 보유 혜택과 별도 구독이 겹칠 가능성이 있을 때</x:v>
      </x:c>
      <x:c r="C218" s="398" t="n">
        <x:f>COUNTIF('04_원본응답'!$Y$2:$Y$101,"무료체험 종료 및 자동 갱신 전, 가격 인상 적용 전, 보유 혜택과 별도 구독이 겹칠 가능성이 있을 때")</x:f>
        <x:v>3</x:v>
      </x:c>
      <x:c r="D218" s="382" t="str">
        <x:v>원본 조합과 정확히 일치하는 응답 수</x:v>
      </x:c>
    </x:row>
    <x:row r="219" ht="38" customHeight="1">
      <x:c r="A219" s="397" t="str">
        <x:v>Y</x:v>
      </x:c>
      <x:c r="B219" s="382" t="str">
        <x:v>무료체험 종료 및 자동 갱신 전, 혜택 사용기간 종료 전, 통신·인터넷 약정 종료 전, 보유 혜택과 별도 구독이 겹칠 가능성이 있을 때</x:v>
      </x:c>
      <x:c r="C219" s="398" t="n">
        <x:f>COUNTIF('04_원본응답'!$Y$2:$Y$101,"무료체험 종료 및 자동 갱신 전, 혜택 사용기간 종료 전, 통신·인터넷 약정 종료 전, 보유 혜택과 별도 구독이 겹칠 가능성이 있을 때")</x:f>
        <x:v>2</x:v>
      </x:c>
      <x:c r="D219" s="382" t="str">
        <x:v>원본 조합과 정확히 일치하는 응답 수</x:v>
      </x:c>
    </x:row>
    <x:row r="220" ht="38" customHeight="1">
      <x:c r="A220" s="397" t="str">
        <x:v>Y</x:v>
      </x:c>
      <x:c r="B220" s="382" t="str">
        <x:v>혜택 사용기간 종료 전, 가격 인상 적용 전, 보유 혜택과 별도 구독이 겹칠 가능성이 있을 때</x:v>
      </x:c>
      <x:c r="C220" s="398" t="n">
        <x:f>COUNTIF('04_원본응답'!$Y$2:$Y$101,"혜택 사용기간 종료 전, 가격 인상 적용 전, 보유 혜택과 별도 구독이 겹칠 가능성이 있을 때")</x:f>
        <x:v>1</x:v>
      </x:c>
      <x:c r="D220" s="382" t="str">
        <x:v>원본 조합과 정확히 일치하는 응답 수</x:v>
      </x:c>
    </x:row>
    <x:row r="221" ht="38" customHeight="1">
      <x:c r="A221" s="397" t="str">
        <x:v>Y</x:v>
      </x:c>
      <x:c r="B221" s="382" t="str">
        <x:v>무료체험 종료 및 자동 갱신 전, 혜택 사용기간 종료 전, 가격 인상 적용 전, 보유 혜택과 별도 구독이 겹칠 가능성이 있을 때</x:v>
      </x:c>
      <x:c r="C221" s="398" t="n">
        <x:f>COUNTIF('04_원본응답'!$Y$2:$Y$101,"무료체험 종료 및 자동 갱신 전, 혜택 사용기간 종료 전, 가격 인상 적용 전, 보유 혜택과 별도 구독이 겹칠 가능성이 있을 때")</x:f>
        <x:v>2</x:v>
      </x:c>
      <x:c r="D221" s="382" t="str">
        <x:v>원본 조합과 정확히 일치하는 응답 수</x:v>
      </x:c>
    </x:row>
    <x:row r="222" ht="38" customHeight="1">
      <x:c r="A222" s="397" t="str">
        <x:v>Y</x:v>
      </x:c>
      <x:c r="B222" s="382" t="str">
        <x:v>알림이 필요하지 않음</x:v>
      </x:c>
      <x:c r="C222" s="398" t="n">
        <x:f>COUNTIF('04_원본응답'!$Y$2:$Y$101,"알림이 필요하지 않음")</x:f>
        <x:v>7</x:v>
      </x:c>
      <x:c r="D222" s="382" t="str">
        <x:v>원본 조합과 정확히 일치하는 응답 수</x:v>
      </x:c>
    </x:row>
    <x:row r="223" ht="38" customHeight="1">
      <x:c r="A223" s="397" t="str">
        <x:v>Y</x:v>
      </x:c>
      <x:c r="B223" s="382" t="str">
        <x:v>공동 구독 정산 시점</x:v>
      </x:c>
      <x:c r="C223" s="398" t="n">
        <x:f>COUNTIF('04_원본응답'!$Y$2:$Y$101,"공동 구독 정산 시점")</x:f>
        <x:v>2</x:v>
      </x:c>
      <x:c r="D223" s="382" t="str">
        <x:v>원본 조합과 정확히 일치하는 응답 수</x:v>
      </x:c>
    </x:row>
    <x:row r="224" ht="38" customHeight="1">
      <x:c r="A224" s="397" t="str">
        <x:v>Y</x:v>
      </x:c>
      <x:c r="B224" s="382" t="str">
        <x:v>혜택 사용기간 종료 전</x:v>
      </x:c>
      <x:c r="C224" s="398" t="n">
        <x:f>COUNTIF('04_원본응답'!$Y$2:$Y$101,"혜택 사용기간 종료 전")</x:f>
        <x:v>5</x:v>
      </x:c>
      <x:c r="D224" s="382" t="str">
        <x:v>원본 조합과 정확히 일치하는 응답 수</x:v>
      </x:c>
    </x:row>
    <x:row r="225" ht="38" customHeight="1">
      <x:c r="A225" s="397" t="str">
        <x:v>Y</x:v>
      </x:c>
      <x:c r="B225" s="382" t="str">
        <x:v>무료체험 종료 및 자동 갱신 전, 통신·인터넷 약정 종료 전, 공동 구독 정산 시점</x:v>
      </x:c>
      <x:c r="C225" s="398" t="n">
        <x:f>COUNTIF('04_원본응답'!$Y$2:$Y$101,"무료체험 종료 및 자동 갱신 전, 통신·인터넷 약정 종료 전, 공동 구독 정산 시점")</x:f>
        <x:v>1</x:v>
      </x:c>
      <x:c r="D225" s="382" t="str">
        <x:v>원본 조합과 정확히 일치하는 응답 수</x:v>
      </x:c>
    </x:row>
    <x:row r="226" ht="38" customHeight="1">
      <x:c r="A226" s="397" t="str">
        <x:v>Y</x:v>
      </x:c>
      <x:c r="B226" s="382" t="str">
        <x:v>혜택 사용기간 종료 전, 가격 인상 적용 전</x:v>
      </x:c>
      <x:c r="C226" s="398" t="n">
        <x:f>COUNTIF('04_원본응답'!$Y$2:$Y$101,"혜택 사용기간 종료 전, 가격 인상 적용 전")</x:f>
        <x:v>2</x:v>
      </x:c>
      <x:c r="D226" s="382" t="str">
        <x:v>원본 조합과 정확히 일치하는 응답 수</x:v>
      </x:c>
    </x:row>
    <x:row r="227" ht="38" customHeight="1">
      <x:c r="A227" s="397" t="str">
        <x:v>Y</x:v>
      </x:c>
      <x:c r="B227" s="382" t="str">
        <x:v>무료체험 종료 및 자동 갱신 전, 혜택 사용기간 종료 전, 가격 인상 적용 전</x:v>
      </x:c>
      <x:c r="C227" s="398" t="n">
        <x:f>COUNTIF('04_원본응답'!$Y$2:$Y$101,"무료체험 종료 및 자동 갱신 전, 혜택 사용기간 종료 전, 가격 인상 적용 전")</x:f>
        <x:v>6</x:v>
      </x:c>
      <x:c r="D227" s="382" t="str">
        <x:v>원본 조합과 정확히 일치하는 응답 수</x:v>
      </x:c>
    </x:row>
    <x:row r="228" ht="38" customHeight="1">
      <x:c r="A228" s="397" t="str">
        <x:v>Y</x:v>
      </x:c>
      <x:c r="B228" s="382" t="str">
        <x:v>통신·인터넷 약정 종료 전, 가격 인상 적용 전</x:v>
      </x:c>
      <x:c r="C228" s="398" t="n">
        <x:f>COUNTIF('04_원본응답'!$Y$2:$Y$101,"통신·인터넷 약정 종료 전, 가격 인상 적용 전")</x:f>
        <x:v>1</x:v>
      </x:c>
      <x:c r="D228" s="382" t="str">
        <x:v>원본 조합과 정확히 일치하는 응답 수</x:v>
      </x:c>
    </x:row>
    <x:row r="229" ht="38" customHeight="1">
      <x:c r="A229" s="397" t="str">
        <x:v>Y</x:v>
      </x:c>
      <x:c r="B229" s="382" t="str">
        <x:v>무료체험 종료 및 자동 갱신 전, 보유 혜택과 별도 구독이 겹칠 가능성이 있을 때</x:v>
      </x:c>
      <x:c r="C229" s="398" t="n">
        <x:f>COUNTIF('04_원본응답'!$Y$2:$Y$101,"무료체험 종료 및 자동 갱신 전, 보유 혜택과 별도 구독이 겹칠 가능성이 있을 때")</x:f>
        <x:v>7</x:v>
      </x:c>
      <x:c r="D229" s="382" t="str">
        <x:v>원본 조합과 정확히 일치하는 응답 수</x:v>
      </x:c>
    </x:row>
    <x:row r="230" ht="38" customHeight="1">
      <x:c r="A230" s="397" t="str">
        <x:v>Y</x:v>
      </x:c>
      <x:c r="B230" s="382" t="str">
        <x:v>보유 혜택과 별도 구독이 겹칠 가능성이 있을 때, 공동 구독 정산 시점</x:v>
      </x:c>
      <x:c r="C230" s="398" t="n">
        <x:f>COUNTIF('04_원본응답'!$Y$2:$Y$101,"보유 혜택과 별도 구독이 겹칠 가능성이 있을 때, 공동 구독 정산 시점")</x:f>
        <x:v>1</x:v>
      </x:c>
      <x:c r="D230" s="382" t="str">
        <x:v>원본 조합과 정확히 일치하는 응답 수</x:v>
      </x:c>
    </x:row>
    <x:row r="231" ht="38" customHeight="1">
      <x:c r="A231" s="397" t="str">
        <x:v>Y</x:v>
      </x:c>
      <x:c r="B231" s="382" t="str">
        <x:v>무료체험 종료 및 자동 갱신 전, 공동 구독 정산 시점</x:v>
      </x:c>
      <x:c r="C231" s="398" t="n">
        <x:f>COUNTIF('04_원본응답'!$Y$2:$Y$101,"무료체험 종료 및 자동 갱신 전, 공동 구독 정산 시점")</x:f>
        <x:v>2</x:v>
      </x:c>
      <x:c r="D231" s="382" t="str">
        <x:v>원본 조합과 정확히 일치하는 응답 수</x:v>
      </x:c>
    </x:row>
    <x:row r="232" ht="38" customHeight="1">
      <x:c r="A232" s="397" t="str">
        <x:v>Y</x:v>
      </x:c>
      <x:c r="B232" s="382" t="str">
        <x:v>무료체험 종료 및 자동 갱신 전, 혜택 사용기간 종료 전, 통신·인터넷 약정 종료 전, 가격 인상 적용 전</x:v>
      </x:c>
      <x:c r="C232" s="398" t="n">
        <x:f>COUNTIF('04_원본응답'!$Y$2:$Y$101,"무료체험 종료 및 자동 갱신 전, 혜택 사용기간 종료 전, 통신·인터넷 약정 종료 전, 가격 인상 적용 전")</x:f>
        <x:v>3</x:v>
      </x:c>
      <x:c r="D232" s="382" t="str">
        <x:v>원본 조합과 정확히 일치하는 응답 수</x:v>
      </x:c>
    </x:row>
    <x:row r="233" ht="38" customHeight="1">
      <x:c r="A233" s="397" t="str">
        <x:v>Y</x:v>
      </x:c>
      <x:c r="B233" s="382" t="str">
        <x:v>통신·인터넷 약정 종료 전</x:v>
      </x:c>
      <x:c r="C233" s="398" t="n">
        <x:f>COUNTIF('04_원본응답'!$Y$2:$Y$101,"통신·인터넷 약정 종료 전")</x:f>
        <x:v>1</x:v>
      </x:c>
      <x:c r="D233" s="382" t="str">
        <x:v>원본 조합과 정확히 일치하는 응답 수</x:v>
      </x:c>
    </x:row>
    <x:row r="234" ht="38" customHeight="1">
      <x:c r="A234" s="397" t="str">
        <x:v>Y</x:v>
      </x:c>
      <x:c r="B234" s="382" t="str">
        <x:v>무료체험 종료 및 자동 갱신 전, 혜택 사용기간 종료 전</x:v>
      </x:c>
      <x:c r="C234" s="398" t="n">
        <x:f>COUNTIF('04_원본응답'!$Y$2:$Y$101,"무료체험 종료 및 자동 갱신 전, 혜택 사용기간 종료 전")</x:f>
        <x:v>7</x:v>
      </x:c>
      <x:c r="D234" s="382" t="str">
        <x:v>원본 조합과 정확히 일치하는 응답 수</x:v>
      </x:c>
    </x:row>
    <x:row r="235" ht="38" customHeight="1">
      <x:c r="A235" s="397" t="str">
        <x:v>Y</x:v>
      </x:c>
      <x:c r="B235" s="382" t="str">
        <x:v>무료체험 종료 및 자동 갱신 전, 통신·인터넷 약정 종료 전, 가격 인상 적용 전, 보유 혜택과 별도 구독이 겹칠 가능성이 있을 때</x:v>
      </x:c>
      <x:c r="C235" s="398" t="n">
        <x:f>COUNTIF('04_원본응답'!$Y$2:$Y$101,"무료체험 종료 및 자동 갱신 전, 통신·인터넷 약정 종료 전, 가격 인상 적용 전, 보유 혜택과 별도 구독이 겹칠 가능성이 있을 때")</x:f>
        <x:v>1</x:v>
      </x:c>
      <x:c r="D235" s="382" t="str">
        <x:v>원본 조합과 정확히 일치하는 응답 수</x:v>
      </x:c>
    </x:row>
    <x:row r="236" ht="38" customHeight="1">
      <x:c r="A236" s="397" t="str">
        <x:v>Y</x:v>
      </x:c>
      <x:c r="B236" s="382" t="str">
        <x:v>보유 혜택과 별도 구독이 겹칠 가능성이 있을 때</x:v>
      </x:c>
      <x:c r="C236" s="398" t="n">
        <x:f>COUNTIF('04_원본응답'!$Y$2:$Y$101,"보유 혜택과 별도 구독이 겹칠 가능성이 있을 때")</x:f>
        <x:v>8</x:v>
      </x:c>
      <x:c r="D236" s="382" t="str">
        <x:v>원본 조합과 정확히 일치하는 응답 수</x:v>
      </x:c>
    </x:row>
    <x:row r="237" ht="38" customHeight="1">
      <x:c r="A237" s="397" t="str">
        <x:v>Y</x:v>
      </x:c>
      <x:c r="B237" s="382" t="str">
        <x:v>무료체험 종료 및 자동 갱신 전, 통신·인터넷 약정 종료 전</x:v>
      </x:c>
      <x:c r="C237" s="398" t="n">
        <x:f>COUNTIF('04_원본응답'!$Y$2:$Y$101,"무료체험 종료 및 자동 갱신 전, 통신·인터넷 약정 종료 전")</x:f>
        <x:v>2</x:v>
      </x:c>
      <x:c r="D237" s="382" t="str">
        <x:v>원본 조합과 정확히 일치하는 응답 수</x:v>
      </x:c>
    </x:row>
    <x:row r="238" ht="38" customHeight="1">
      <x:c r="A238" s="397" t="str">
        <x:v>Y</x:v>
      </x:c>
      <x:c r="B238" s="382" t="str">
        <x:v>무료체험 종료 및 자동 갱신 전, 통신·인터넷 약정 종료 전, 보유 혜택과 별도 구독이 겹칠 가능성이 있을 때</x:v>
      </x:c>
      <x:c r="C238" s="398" t="n">
        <x:f>COUNTIF('04_원본응답'!$Y$2:$Y$101,"무료체험 종료 및 자동 갱신 전, 통신·인터넷 약정 종료 전, 보유 혜택과 별도 구독이 겹칠 가능성이 있을 때")</x:f>
        <x:v>1</x:v>
      </x:c>
      <x:c r="D238" s="382" t="str">
        <x:v>원본 조합과 정확히 일치하는 응답 수</x:v>
      </x:c>
    </x:row>
    <x:row r="239" ht="38" customHeight="1">
      <x:c r="A239" s="397" t="str">
        <x:v>Y</x:v>
      </x:c>
      <x:c r="B239" s="382" t="str">
        <x:v>무료체험 종료 및 자동 갱신 전, 혜택 사용기간 종료 전, 보유 혜택과 별도 구독이 겹칠 가능성이 있을 때</x:v>
      </x:c>
      <x:c r="C239" s="398" t="n">
        <x:f>COUNTIF('04_원본응답'!$Y$2:$Y$101,"무료체험 종료 및 자동 갱신 전, 혜택 사용기간 종료 전, 보유 혜택과 별도 구독이 겹칠 가능성이 있을 때")</x:f>
        <x:v>1</x:v>
      </x:c>
      <x:c r="D239" s="382" t="str">
        <x:v>원본 조합과 정확히 일치하는 응답 수</x:v>
      </x:c>
    </x:row>
    <x:row r="240" ht="38" customHeight="1">
      <x:c r="A240" s="397" t="str">
        <x:v>Y</x:v>
      </x:c>
      <x:c r="B240" s="382" t="str">
        <x:v>무료체험 종료 및 자동 갱신 전, 가격 인상 적용 전</x:v>
      </x:c>
      <x:c r="C240" s="398" t="n">
        <x:f>COUNTIF('04_원본응답'!$Y$2:$Y$101,"무료체험 종료 및 자동 갱신 전, 가격 인상 적용 전")</x:f>
        <x:v>3</x:v>
      </x:c>
      <x:c r="D240" s="382" t="str">
        <x:v>원본 조합과 정확히 일치하는 응답 수</x:v>
      </x:c>
    </x:row>
    <x:row r="241" ht="38" customHeight="1">
      <x:c r="A241" s="397" t="str">
        <x:v>Y</x:v>
      </x:c>
      <x:c r="B241" s="382" t="str">
        <x:v>무료체험 종료 및 자동 갱신 전, 가격 인상 적용 전, 공동 구독 정산 시점</x:v>
      </x:c>
      <x:c r="C241" s="398" t="n">
        <x:f>COUNTIF('04_원본응답'!$Y$2:$Y$101,"무료체험 종료 및 자동 갱신 전, 가격 인상 적용 전, 공동 구독 정산 시점")</x:f>
        <x:v>1</x:v>
      </x:c>
      <x:c r="D241" s="382" t="str">
        <x:v>원본 조합과 정확히 일치하는 응답 수</x:v>
      </x:c>
    </x:row>
    <x:row r="242" ht="38" customHeight="1">
      <x:c r="A242" s="397" t="str">
        <x:v>Y</x:v>
      </x:c>
      <x:c r="B242" s="382" t="str">
        <x:v>가격 인상 적용 전</x:v>
      </x:c>
      <x:c r="C242" s="398" t="n">
        <x:f>COUNTIF('04_원본응답'!$Y$2:$Y$101,"가격 인상 적용 전")</x:f>
        <x:v>1</x:v>
      </x:c>
      <x:c r="D242" s="382" t="str">
        <x:v>원본 조합과 정확히 일치하는 응답 수</x:v>
      </x:c>
    </x:row>
    <x:row r="243" ht="38" customHeight="1">
      <x:c r="A243" s="397" t="str">
        <x:v>Y</x:v>
      </x:c>
      <x:c r="B243" s="382" t="str">
        <x:v>무료체험 종료 및 자동 갱신 전, 혜택 사용기간 종료 전, 통신·인터넷 약정 종료 전</x:v>
      </x:c>
      <x:c r="C243" s="398" t="n">
        <x:f>COUNTIF('04_원본응답'!$Y$2:$Y$101,"무료체험 종료 및 자동 갱신 전, 혜택 사용기간 종료 전, 통신·인터넷 약정 종료 전")</x:f>
        <x:v>1</x:v>
      </x:c>
      <x:c r="D243" s="382" t="str">
        <x:v>원본 조합과 정확히 일치하는 응답 수</x:v>
      </x:c>
    </x:row>
  </x:sheetData>
  <x:mergeCells>
    <x:mergeCell ref="A1:D2"/>
    <x:mergeCell ref="A3:D3"/>
  </x:mergeCells>
  <x:pageMargins left="0.7" right="0.7" top="0.75" bottom="0.75" header="0.3" footer="0.3"/>
</x:worksheet>
</file>